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1.xml" ContentType="application/vnd.ms-excel.person+xml"/>
  <Override PartName="/xl/persons/person0.xml" ContentType="application/vnd.ms-excel.person+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defaultThemeVersion="166925"/>
  <mc:AlternateContent xmlns:mc="http://schemas.openxmlformats.org/markup-compatibility/2006">
    <mc:Choice Requires="x15">
      <x15ac:absPath xmlns:x15ac="http://schemas.microsoft.com/office/spreadsheetml/2010/11/ac" url="C:\Users\cinda\OneDrive\Escritorio\"/>
    </mc:Choice>
  </mc:AlternateContent>
  <xr:revisionPtr revIDLastSave="0" documentId="8_{BBC27113-6A9D-426F-BA07-35E326CDCBBA}" xr6:coauthVersionLast="47" xr6:coauthVersionMax="47" xr10:uidLastSave="{00000000-0000-0000-0000-000000000000}"/>
  <bookViews>
    <workbookView xWindow="28680" yWindow="-120" windowWidth="29040" windowHeight="15720" tabRatio="874" xr2:uid="{00000000-000D-0000-FFFF-FFFF00000000}"/>
  </bookViews>
  <sheets>
    <sheet name="Índice" sheetId="48" r:id="rId1"/>
    <sheet name="Instructivo general " sheetId="60" r:id="rId2"/>
    <sheet name="0. Resumen Estadístico" sheetId="63" r:id="rId3"/>
    <sheet name="1. Identificación carrera" sheetId="3" r:id="rId4"/>
    <sheet name="2. Líneas de investigación " sheetId="59" r:id="rId5"/>
    <sheet name="3. Admisión ciclo-semestre" sheetId="65" r:id="rId6"/>
    <sheet name="4. Cohortes ciclo-semestre" sheetId="66" r:id="rId7"/>
    <sheet name="5.Egresados ciclo-semestre" sheetId="67" r:id="rId8"/>
    <sheet name="6. Titulados ciclo-semestre" sheetId="68" r:id="rId9"/>
    <sheet name="7.a. Asignaturas y actividades " sheetId="46" r:id="rId10"/>
    <sheet name="7.b. Asignaturas optativas" sheetId="55" r:id="rId11"/>
    <sheet name="8. Actualización Plan estudios" sheetId="47" r:id="rId12"/>
    <sheet name="9. Consejo" sheetId="26" r:id="rId13"/>
    <sheet name="10. Académicos" sheetId="27" r:id="rId14"/>
    <sheet name="11. Caracterización académicos " sheetId="57" r:id="rId15"/>
    <sheet name="12. Jefes de práctica" sheetId="56" r:id="rId16"/>
    <sheet name="13. Perfeccionamiento académic" sheetId="29" r:id="rId17"/>
    <sheet name="14. Personal no académico" sheetId="30" r:id="rId18"/>
    <sheet name="15. Becas y ayudas internas" sheetId="31" r:id="rId19"/>
    <sheet name="16. Becas y ayudas externas" sheetId="32" r:id="rId20"/>
    <sheet name="17. Bienestar universitario" sheetId="45" r:id="rId21"/>
    <sheet name="18. Recursos de aprendizaje" sheetId="33" r:id="rId22"/>
    <sheet name="19. Desarrollo académico" sheetId="35" r:id="rId23"/>
    <sheet name="20. Proyectos de investigación" sheetId="36" r:id="rId24"/>
    <sheet name="21. Desarrollo profesional" sheetId="62" r:id="rId25"/>
    <sheet name="22. Artículos" sheetId="40" r:id="rId26"/>
    <sheet name="23. Libros o Capítulos de libro" sheetId="41" r:id="rId27"/>
    <sheet name="24. Obra de creación" sheetId="42" r:id="rId28"/>
    <sheet name="25. Patentes" sheetId="43" r:id="rId29"/>
    <sheet name="26. Redes" sheetId="37" r:id="rId30"/>
    <sheet name="27. Extensión" sheetId="38" r:id="rId31"/>
    <sheet name="28. Prestación de servicios" sheetId="39" r:id="rId32"/>
    <sheet name="ÁREAS OCDE" sheetId="64" r:id="rId33"/>
  </sheets>
  <externalReferences>
    <externalReference r:id="rId34"/>
  </externalReferences>
  <definedNames>
    <definedName name="_xlnm._FilterDatabase" localSheetId="3" hidden="1">'1. Identificación carrera'!$A$6:$A$15</definedName>
    <definedName name="_xlnm._FilterDatabase" localSheetId="13" hidden="1">'10. Académicos'!$A$6:$AA$6</definedName>
    <definedName name="_xlnm._FilterDatabase" localSheetId="15" hidden="1">'12. Jefes de práctica'!$A$8:$M$8</definedName>
    <definedName name="_xlnm._FilterDatabase" localSheetId="16" hidden="1">'13. Perfeccionamiento académic'!$A$6:$P$6</definedName>
    <definedName name="_xlnm._FilterDatabase" localSheetId="17" hidden="1">'14. Personal no académico'!$A$5:$K$5</definedName>
    <definedName name="_xlnm._FilterDatabase" localSheetId="18" hidden="1">'15. Becas y ayudas internas'!$A$8:$N$18</definedName>
    <definedName name="_xlnm._FilterDatabase" localSheetId="19" hidden="1">'16. Becas y ayudas externas'!$A$5:$M$5</definedName>
    <definedName name="_xlnm._FilterDatabase" localSheetId="20" hidden="1">'17. Bienestar universitario'!$A$1:$T$58</definedName>
    <definedName name="_xlnm._FilterDatabase" localSheetId="21" hidden="1">'18. Recursos de aprendizaje'!$A$7:$P$7</definedName>
    <definedName name="_xlnm._FilterDatabase" localSheetId="22" hidden="1">'19. Desarrollo académico'!$A$7:$AB$7</definedName>
    <definedName name="_xlnm._FilterDatabase" localSheetId="23" hidden="1">'20. Proyectos de investigación'!$A$8:$AY$8</definedName>
    <definedName name="_xlnm._FilterDatabase" localSheetId="25" hidden="1">'22. Artículos'!$A$5:$Q$5</definedName>
    <definedName name="_xlnm._FilterDatabase" localSheetId="26" hidden="1">'23. Libros o Capítulos de libro'!$A$5:$M$5</definedName>
    <definedName name="_xlnm._FilterDatabase" localSheetId="27" hidden="1">'24. Obra de creación'!$A$6:$L$6</definedName>
    <definedName name="_xlnm._FilterDatabase" localSheetId="28" hidden="1">'25. Patentes'!$A$5:$K$5</definedName>
    <definedName name="_xlnm._FilterDatabase" localSheetId="29" hidden="1">'26. Redes'!$A$6:$N$6</definedName>
    <definedName name="_xlnm._FilterDatabase" localSheetId="30" hidden="1">'27. Extensión'!$A$7:$R$7</definedName>
    <definedName name="_xlnm._FilterDatabase" localSheetId="31" hidden="1">'28. Prestación de servicios'!$A$7:$R$7</definedName>
    <definedName name="_xlnm._FilterDatabase" localSheetId="5" hidden="1">'3. Admisión ciclo-semestre'!$A$8:$X$8</definedName>
    <definedName name="_xlnm._FilterDatabase" localSheetId="6" hidden="1">'4. Cohortes ciclo-semestre'!$A$7:$K$17</definedName>
    <definedName name="_xlnm._FilterDatabase" localSheetId="7" hidden="1">'5.Egresados ciclo-semestre'!$A$6:$K$11</definedName>
    <definedName name="_xlnm._FilterDatabase" localSheetId="8" hidden="1">'6. Titulados ciclo-semestre'!$A$8:$K$13</definedName>
    <definedName name="_xlnm._FilterDatabase" localSheetId="9" hidden="1">'7.a. Asignaturas y actividades '!$A$6:$J$46</definedName>
    <definedName name="_xlnm._FilterDatabase" localSheetId="10" hidden="1">'7.b. Asignaturas optativas'!$A$5:$G$5</definedName>
    <definedName name="_xlnm._FilterDatabase" localSheetId="11" hidden="1">'8. Actualización Plan estudios'!$A$6:$D$6</definedName>
    <definedName name="_xlnm._FilterDatabase" localSheetId="12" hidden="1">'9. Consejo'!$A$6:$H$6</definedName>
    <definedName name="_xlnm._FilterDatabase" localSheetId="32" hidden="1">'ÁREAS OCDE'!$A$1:$A$1</definedName>
    <definedName name="_xlnm.Print_Area" localSheetId="2">'0. Resumen Estadístico'!$B$1:$P$128</definedName>
    <definedName name="CIENCIAS_AGRÍCOLAS">'ÁREAS OCDE'!$A$25:$A$29</definedName>
    <definedName name="CIENCIAS_MÉDICAS_Y_DE_LA_SALUD">'ÁREAS OCDE'!$A$20:$A$24</definedName>
    <definedName name="CIENCIAS_NATURALES">'ÁREAS OCDE'!$A$2:$A$8</definedName>
    <definedName name="CIENCIAS_SOCIALES">'ÁREAS OCDE'!$A$30:$A$38</definedName>
    <definedName name="HUMANIDADES">'ÁREAS OCDE'!$A$39:$A$43</definedName>
    <definedName name="INGENIERÍA_Y_TECNOLOGÍA">'ÁREAS OCDE'!$A$9:$A$19</definedName>
    <definedName name="OCDE">'ÁREAS OCDE'!$B$2:$B$7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85" i="63" l="1"/>
  <c r="F86" i="63"/>
  <c r="F87" i="63"/>
  <c r="F88" i="63"/>
  <c r="F89" i="63"/>
  <c r="F90" i="63"/>
  <c r="F91" i="63"/>
  <c r="F92" i="63"/>
  <c r="F93" i="63"/>
  <c r="F84" i="63"/>
  <c r="E85" i="63"/>
  <c r="E86" i="63"/>
  <c r="E87" i="63"/>
  <c r="E88" i="63"/>
  <c r="E89" i="63"/>
  <c r="E90" i="63"/>
  <c r="E91" i="63"/>
  <c r="E92" i="63"/>
  <c r="E93" i="63"/>
  <c r="E84" i="63"/>
  <c r="D85" i="63"/>
  <c r="D86" i="63"/>
  <c r="D87" i="63"/>
  <c r="D88" i="63"/>
  <c r="D89" i="63"/>
  <c r="D90" i="63"/>
  <c r="D91" i="63"/>
  <c r="D92" i="63"/>
  <c r="D93" i="63"/>
  <c r="D84" i="63"/>
  <c r="C85" i="63"/>
  <c r="C86" i="63"/>
  <c r="C87" i="63"/>
  <c r="C88" i="63"/>
  <c r="C89" i="63"/>
  <c r="C90" i="63"/>
  <c r="C91" i="63"/>
  <c r="C92" i="63"/>
  <c r="C93" i="63"/>
  <c r="C84" i="63"/>
  <c r="P18" i="57"/>
  <c r="I18" i="57"/>
  <c r="B18" i="57"/>
  <c r="W18" i="57" s="1"/>
  <c r="P17" i="57"/>
  <c r="W17" i="57" s="1"/>
  <c r="I17" i="57"/>
  <c r="B17" i="57"/>
  <c r="P16" i="57"/>
  <c r="W16" i="57" s="1"/>
  <c r="I16" i="57"/>
  <c r="B16" i="57"/>
  <c r="P15" i="57"/>
  <c r="I15" i="57"/>
  <c r="B15" i="57"/>
  <c r="W15" i="57" s="1"/>
  <c r="P14" i="57"/>
  <c r="I14" i="57"/>
  <c r="B14" i="57"/>
  <c r="W14" i="57" s="1"/>
  <c r="F67" i="63"/>
  <c r="F68" i="63"/>
  <c r="F69" i="63"/>
  <c r="F70" i="63"/>
  <c r="F71" i="63"/>
  <c r="F72" i="63"/>
  <c r="F73" i="63"/>
  <c r="F74" i="63"/>
  <c r="F75" i="63"/>
  <c r="F66" i="63"/>
  <c r="E67" i="63"/>
  <c r="E68" i="63"/>
  <c r="E69" i="63"/>
  <c r="E70" i="63"/>
  <c r="E71" i="63"/>
  <c r="E72" i="63"/>
  <c r="E73" i="63"/>
  <c r="E74" i="63"/>
  <c r="E75" i="63"/>
  <c r="E66" i="63"/>
  <c r="D67" i="63"/>
  <c r="D68" i="63"/>
  <c r="D69" i="63"/>
  <c r="D70" i="63"/>
  <c r="D71" i="63"/>
  <c r="D72" i="63"/>
  <c r="D73" i="63"/>
  <c r="D74" i="63"/>
  <c r="D75" i="63"/>
  <c r="D66" i="63"/>
  <c r="C67" i="63"/>
  <c r="C68" i="63"/>
  <c r="C69" i="63"/>
  <c r="C70" i="63"/>
  <c r="C71" i="63"/>
  <c r="C72" i="63"/>
  <c r="C73" i="63"/>
  <c r="C74" i="63"/>
  <c r="C75" i="63"/>
  <c r="C66" i="63"/>
  <c r="F43" i="63"/>
  <c r="F44" i="63"/>
  <c r="F45" i="63"/>
  <c r="F46" i="63"/>
  <c r="F47" i="63"/>
  <c r="F48" i="63"/>
  <c r="F49" i="63"/>
  <c r="F50" i="63"/>
  <c r="F51" i="63"/>
  <c r="F52" i="63"/>
  <c r="F53" i="63"/>
  <c r="F54" i="63"/>
  <c r="F55" i="63"/>
  <c r="F42" i="63"/>
  <c r="E43" i="63"/>
  <c r="E44" i="63"/>
  <c r="E45" i="63"/>
  <c r="E46" i="63"/>
  <c r="E47" i="63"/>
  <c r="E48" i="63"/>
  <c r="E49" i="63"/>
  <c r="E50" i="63"/>
  <c r="E51" i="63"/>
  <c r="E52" i="63"/>
  <c r="E53" i="63"/>
  <c r="E54" i="63"/>
  <c r="E55" i="63"/>
  <c r="E56" i="63"/>
  <c r="E57" i="63"/>
  <c r="E42" i="63"/>
  <c r="D43" i="63"/>
  <c r="D44" i="63"/>
  <c r="D45" i="63"/>
  <c r="D46" i="63"/>
  <c r="D47" i="63"/>
  <c r="D48" i="63"/>
  <c r="D49" i="63"/>
  <c r="D50" i="63"/>
  <c r="D51" i="63"/>
  <c r="D52" i="63"/>
  <c r="D53" i="63"/>
  <c r="D54" i="63"/>
  <c r="D55" i="63"/>
  <c r="D56" i="63"/>
  <c r="D57" i="63"/>
  <c r="D58" i="63"/>
  <c r="D59" i="63"/>
  <c r="D42" i="63"/>
  <c r="C43" i="63"/>
  <c r="C44" i="63"/>
  <c r="C45" i="63"/>
  <c r="C46" i="63"/>
  <c r="C47" i="63"/>
  <c r="C48" i="63"/>
  <c r="C49" i="63"/>
  <c r="C50" i="63"/>
  <c r="C51" i="63"/>
  <c r="C52" i="63"/>
  <c r="C53" i="63"/>
  <c r="C54" i="63"/>
  <c r="C55" i="63"/>
  <c r="C56" i="63"/>
  <c r="C57" i="63"/>
  <c r="C58" i="63"/>
  <c r="C59" i="63"/>
  <c r="C42" i="63"/>
  <c r="E27" i="63"/>
  <c r="E28" i="63"/>
  <c r="E29" i="63"/>
  <c r="E30" i="63"/>
  <c r="E31" i="63"/>
  <c r="E32" i="63"/>
  <c r="E33" i="63"/>
  <c r="E34" i="63"/>
  <c r="E35" i="63"/>
  <c r="E26" i="63"/>
  <c r="D27" i="63"/>
  <c r="D28" i="63"/>
  <c r="D29" i="63"/>
  <c r="D30" i="63"/>
  <c r="D31" i="63"/>
  <c r="D32" i="63"/>
  <c r="D33" i="63"/>
  <c r="D34" i="63"/>
  <c r="D35" i="63"/>
  <c r="D26" i="63"/>
  <c r="C27" i="63"/>
  <c r="C28" i="63"/>
  <c r="C29" i="63"/>
  <c r="C30" i="63"/>
  <c r="C31" i="63"/>
  <c r="C32" i="63"/>
  <c r="C33" i="63"/>
  <c r="C34" i="63"/>
  <c r="C35" i="63"/>
  <c r="C26" i="63"/>
  <c r="F20" i="63"/>
  <c r="F19" i="63"/>
  <c r="F18" i="63"/>
  <c r="F17" i="63"/>
  <c r="F16" i="63"/>
  <c r="F15" i="63"/>
  <c r="F14" i="63"/>
  <c r="F13" i="63"/>
  <c r="F12" i="63"/>
  <c r="F11" i="63"/>
  <c r="E12" i="63" l="1"/>
  <c r="E13" i="63"/>
  <c r="E14" i="63"/>
  <c r="E15" i="63"/>
  <c r="E16" i="63"/>
  <c r="E17" i="63"/>
  <c r="E18" i="63"/>
  <c r="E19" i="63"/>
  <c r="E20" i="63"/>
  <c r="E11" i="63"/>
  <c r="D12" i="63"/>
  <c r="D13" i="63"/>
  <c r="D14" i="63"/>
  <c r="D15" i="63"/>
  <c r="D16" i="63"/>
  <c r="D17" i="63"/>
  <c r="D18" i="63"/>
  <c r="D19" i="63"/>
  <c r="D20" i="63"/>
  <c r="D11" i="63"/>
  <c r="C12" i="63"/>
  <c r="C13" i="63"/>
  <c r="C14" i="63"/>
  <c r="C15" i="63"/>
  <c r="C16" i="63"/>
  <c r="C17" i="63"/>
  <c r="C18" i="63"/>
  <c r="C19" i="63"/>
  <c r="C20" i="63"/>
  <c r="C11" i="63"/>
  <c r="A10" i="65" l="1"/>
  <c r="A11" i="65"/>
  <c r="A12" i="65"/>
  <c r="A13" i="65"/>
  <c r="A14" i="65"/>
  <c r="A15" i="65"/>
  <c r="A16" i="65"/>
  <c r="A17" i="65"/>
  <c r="A18" i="65"/>
  <c r="A9" i="65"/>
  <c r="M18" i="68"/>
  <c r="L18" i="68"/>
  <c r="M17" i="68"/>
  <c r="L17" i="68"/>
  <c r="M16" i="68"/>
  <c r="L16" i="68"/>
  <c r="M15" i="68"/>
  <c r="L15" i="68"/>
  <c r="M14" i="68"/>
  <c r="L14" i="68"/>
  <c r="M13" i="68"/>
  <c r="L13" i="68"/>
  <c r="M12" i="68"/>
  <c r="L12" i="68"/>
  <c r="M11" i="68"/>
  <c r="L11" i="68"/>
  <c r="M10" i="68"/>
  <c r="L10" i="68"/>
  <c r="M9" i="68"/>
  <c r="L9" i="68"/>
  <c r="L16" i="67"/>
  <c r="L15" i="67"/>
  <c r="L14" i="67"/>
  <c r="L13" i="67"/>
  <c r="L12" i="67"/>
  <c r="L11" i="67"/>
  <c r="L10" i="67"/>
  <c r="L9" i="67"/>
  <c r="L8" i="67"/>
  <c r="L7" i="67"/>
  <c r="A27" i="66"/>
  <c r="Y25" i="66"/>
  <c r="Y24" i="66"/>
  <c r="Z23" i="66"/>
  <c r="Y23" i="66"/>
  <c r="Z22" i="66"/>
  <c r="Y22" i="66"/>
  <c r="AA21" i="66"/>
  <c r="Z21" i="66"/>
  <c r="Y21" i="66"/>
  <c r="AA20" i="66"/>
  <c r="Z20" i="66"/>
  <c r="Y20" i="66"/>
  <c r="AA19" i="66"/>
  <c r="Z19" i="66"/>
  <c r="Y19" i="66"/>
  <c r="AA18" i="66"/>
  <c r="Z18" i="66"/>
  <c r="Y18" i="66"/>
  <c r="AA17" i="66"/>
  <c r="Z17" i="66"/>
  <c r="Y17" i="66"/>
  <c r="AA16" i="66"/>
  <c r="Z16" i="66"/>
  <c r="Y16" i="66"/>
  <c r="AA15" i="66"/>
  <c r="Z15" i="66"/>
  <c r="Y15" i="66"/>
  <c r="AA14" i="66"/>
  <c r="Z14" i="66"/>
  <c r="Y14" i="66"/>
  <c r="AA13" i="66"/>
  <c r="Z13" i="66"/>
  <c r="Y13" i="66"/>
  <c r="AA12" i="66"/>
  <c r="Z12" i="66"/>
  <c r="Y12" i="66"/>
  <c r="AA11" i="66"/>
  <c r="Z11" i="66"/>
  <c r="Y11" i="66"/>
  <c r="AA10" i="66"/>
  <c r="Z10" i="66"/>
  <c r="Y10" i="66"/>
  <c r="AA9" i="66"/>
  <c r="Z9" i="66"/>
  <c r="Y9" i="66"/>
  <c r="AA8" i="66"/>
  <c r="Z8" i="66"/>
  <c r="Y8" i="66"/>
  <c r="U7" i="66"/>
  <c r="T7" i="66"/>
  <c r="S7" i="66"/>
  <c r="R7" i="66"/>
  <c r="Q7" i="66"/>
  <c r="P7" i="66"/>
  <c r="O7" i="66"/>
  <c r="N7" i="66"/>
  <c r="M7" i="66"/>
  <c r="L7" i="66"/>
  <c r="K7" i="66"/>
  <c r="J7" i="66"/>
  <c r="I7" i="66"/>
  <c r="H7" i="66"/>
  <c r="G7" i="66"/>
  <c r="F7" i="66"/>
  <c r="E7" i="66"/>
  <c r="D7" i="66"/>
  <c r="C7" i="66"/>
  <c r="B7" i="66"/>
  <c r="G18" i="65"/>
  <c r="F18" i="65"/>
  <c r="G17" i="65"/>
  <c r="F17" i="65"/>
  <c r="G16" i="65"/>
  <c r="F16" i="65"/>
  <c r="G15" i="65"/>
  <c r="F15" i="65"/>
  <c r="G14" i="65"/>
  <c r="F14" i="65"/>
  <c r="P10" i="57" l="1"/>
  <c r="P11" i="57"/>
  <c r="P12" i="57"/>
  <c r="P13" i="57"/>
  <c r="P9" i="57"/>
  <c r="I10" i="57"/>
  <c r="I11" i="57"/>
  <c r="I12" i="57"/>
  <c r="I13" i="57"/>
  <c r="I9" i="57"/>
  <c r="B10" i="57"/>
  <c r="B11" i="57"/>
  <c r="B12" i="57"/>
  <c r="B13" i="57"/>
  <c r="B9" i="57"/>
  <c r="J1" i="63"/>
  <c r="F1" i="63"/>
  <c r="W11" i="57" l="1"/>
  <c r="W13" i="57"/>
  <c r="W12" i="57"/>
  <c r="W10" i="57"/>
  <c r="W9" i="57"/>
  <c r="AB59" i="35" l="1"/>
  <c r="AB58" i="35"/>
  <c r="AW58" i="36"/>
  <c r="AW57" i="36"/>
  <c r="AW56" i="36"/>
  <c r="AW55" i="36"/>
  <c r="AW54" i="36"/>
  <c r="AW53" i="36"/>
  <c r="AW52" i="36"/>
  <c r="AW51" i="36"/>
  <c r="AW50" i="36"/>
  <c r="AW49" i="36"/>
  <c r="AW48" i="36"/>
  <c r="AW47" i="36"/>
  <c r="AW46" i="36"/>
  <c r="AW45" i="36"/>
  <c r="AW44" i="36"/>
  <c r="AW43" i="36"/>
  <c r="AW42" i="36"/>
  <c r="AW41" i="36"/>
  <c r="AW40" i="36"/>
  <c r="AW39" i="36"/>
  <c r="AW38" i="36"/>
  <c r="AW37" i="36"/>
  <c r="AW36" i="36"/>
  <c r="AW35" i="36"/>
  <c r="AW34" i="36"/>
  <c r="AW33" i="36"/>
  <c r="AW32" i="36"/>
  <c r="AW31" i="36"/>
  <c r="AW30" i="36"/>
  <c r="AW29" i="36"/>
  <c r="AW28" i="36"/>
  <c r="AW27" i="36"/>
  <c r="AW26" i="36"/>
  <c r="AW25" i="36"/>
  <c r="AW24" i="36"/>
  <c r="AW23" i="36"/>
  <c r="AW22" i="36"/>
  <c r="AW21" i="36"/>
  <c r="AW20" i="36"/>
  <c r="AW19" i="36"/>
  <c r="AW18" i="36"/>
  <c r="AW17" i="36"/>
  <c r="AW16" i="36"/>
  <c r="AW15" i="36"/>
  <c r="AW14" i="36"/>
  <c r="AW13" i="36"/>
  <c r="AW12" i="36"/>
  <c r="AW11" i="36"/>
  <c r="AW10" i="36"/>
  <c r="AW9" i="36"/>
  <c r="U56" i="27" l="1"/>
  <c r="U55" i="27"/>
  <c r="U54" i="27"/>
  <c r="U53" i="27"/>
  <c r="U52" i="27"/>
  <c r="U51" i="27"/>
  <c r="U50" i="27"/>
  <c r="U49" i="27"/>
  <c r="U48" i="27"/>
  <c r="U47" i="27"/>
  <c r="U46" i="27"/>
  <c r="U45" i="27"/>
  <c r="U44" i="27"/>
  <c r="U43" i="27"/>
  <c r="U42" i="27"/>
  <c r="U41" i="27"/>
  <c r="U40" i="27"/>
  <c r="U39" i="27"/>
  <c r="U38" i="27"/>
  <c r="U37" i="27"/>
  <c r="U36" i="27"/>
  <c r="U35" i="27"/>
  <c r="U34" i="27"/>
  <c r="U33" i="27"/>
  <c r="U32" i="27"/>
  <c r="U31" i="27"/>
  <c r="U30" i="27"/>
  <c r="U29" i="27"/>
  <c r="U28" i="27"/>
  <c r="U27" i="27"/>
  <c r="U26" i="27"/>
  <c r="U25" i="27"/>
  <c r="U24" i="27"/>
  <c r="U23" i="27"/>
  <c r="U22" i="27"/>
  <c r="U21" i="27"/>
  <c r="U20" i="27"/>
  <c r="U19" i="27"/>
  <c r="U18" i="27"/>
  <c r="U17" i="27"/>
  <c r="U16" i="27"/>
  <c r="U15" i="27"/>
  <c r="U14" i="27"/>
  <c r="U13" i="27"/>
  <c r="U12" i="27"/>
  <c r="U11" i="27"/>
  <c r="U10" i="27"/>
  <c r="U9" i="27"/>
  <c r="U8" i="27"/>
  <c r="U7" i="27"/>
  <c r="P57" i="39" l="1"/>
  <c r="P56" i="39"/>
  <c r="P55" i="39"/>
  <c r="P54" i="39"/>
  <c r="P53" i="39"/>
  <c r="P52" i="39"/>
  <c r="P51" i="39"/>
  <c r="P50" i="39"/>
  <c r="P49" i="39"/>
  <c r="P48" i="39"/>
  <c r="P47" i="39"/>
  <c r="P46" i="39"/>
  <c r="P45" i="39"/>
  <c r="P44" i="39"/>
  <c r="P43" i="39"/>
  <c r="P42" i="39"/>
  <c r="P41" i="39"/>
  <c r="P40" i="39"/>
  <c r="P39" i="39"/>
  <c r="P38" i="39"/>
  <c r="P37" i="39"/>
  <c r="P36" i="39"/>
  <c r="P35" i="39"/>
  <c r="P34" i="39"/>
  <c r="P33" i="39"/>
  <c r="P32" i="39"/>
  <c r="P31" i="39"/>
  <c r="P30" i="39"/>
  <c r="P29" i="39"/>
  <c r="P28" i="39"/>
  <c r="P27" i="39"/>
  <c r="P26" i="39"/>
  <c r="P25" i="39"/>
  <c r="P24" i="39"/>
  <c r="P23" i="39"/>
  <c r="P22" i="39"/>
  <c r="P21" i="39"/>
  <c r="P20" i="39"/>
  <c r="P19" i="39"/>
  <c r="P18" i="39"/>
  <c r="P17" i="39"/>
  <c r="P16" i="39"/>
  <c r="P15" i="39"/>
  <c r="P14" i="39"/>
  <c r="P13" i="39"/>
  <c r="P12" i="39"/>
  <c r="P11" i="39"/>
  <c r="P10" i="39"/>
  <c r="P9" i="39"/>
  <c r="P8" i="39"/>
  <c r="Q57" i="38"/>
  <c r="Q56" i="38"/>
  <c r="Q55" i="38"/>
  <c r="Q54" i="38"/>
  <c r="Q53" i="38"/>
  <c r="Q52" i="38"/>
  <c r="Q51" i="38"/>
  <c r="Q50" i="38"/>
  <c r="Q49" i="38"/>
  <c r="Q48" i="38"/>
  <c r="Q47" i="38"/>
  <c r="Q46" i="38"/>
  <c r="Q45" i="38"/>
  <c r="Q44" i="38"/>
  <c r="Q43" i="38"/>
  <c r="Q42" i="38"/>
  <c r="Q41" i="38"/>
  <c r="Q40" i="38"/>
  <c r="Q39" i="38"/>
  <c r="Q38" i="38"/>
  <c r="Q37" i="38"/>
  <c r="Q36" i="38"/>
  <c r="Q35" i="38"/>
  <c r="Q34" i="38"/>
  <c r="Q33" i="38"/>
  <c r="Q32" i="38"/>
  <c r="Q31" i="38"/>
  <c r="Q30" i="38"/>
  <c r="Q29" i="38"/>
  <c r="Q28" i="38"/>
  <c r="Q27" i="38"/>
  <c r="Q26" i="38"/>
  <c r="Q25" i="38"/>
  <c r="Q24" i="38"/>
  <c r="Q23" i="38"/>
  <c r="Q22" i="38"/>
  <c r="Q21" i="38"/>
  <c r="Q20" i="38"/>
  <c r="Q19" i="38"/>
  <c r="Q18" i="38"/>
  <c r="Q17" i="38"/>
  <c r="Q16" i="38"/>
  <c r="Q15" i="38"/>
  <c r="Q14" i="38"/>
  <c r="Q13" i="38"/>
  <c r="Q12" i="38"/>
  <c r="Q11" i="38"/>
  <c r="Q10" i="38"/>
  <c r="Q9" i="38"/>
  <c r="Q8" i="38"/>
  <c r="AB57" i="35"/>
  <c r="AB56" i="35"/>
  <c r="AB55" i="35"/>
  <c r="AB54" i="35"/>
  <c r="AB53" i="35"/>
  <c r="AB52" i="35"/>
  <c r="AB51" i="35"/>
  <c r="AB50" i="35"/>
  <c r="AB49" i="35"/>
  <c r="AB48" i="35"/>
  <c r="AB47" i="35"/>
  <c r="AB46" i="35"/>
  <c r="AB45" i="35"/>
  <c r="AB44" i="35"/>
  <c r="AB43" i="35"/>
  <c r="AB42" i="35"/>
  <c r="AB41" i="35"/>
  <c r="AB40" i="35"/>
  <c r="AB39" i="35"/>
  <c r="AB38" i="35"/>
  <c r="AB37" i="35"/>
  <c r="AB36" i="35"/>
  <c r="AB35" i="35"/>
  <c r="AB34" i="35"/>
  <c r="AB33" i="35"/>
  <c r="AB32" i="35"/>
  <c r="AB31" i="35"/>
  <c r="AB30" i="35"/>
  <c r="AB29" i="35"/>
  <c r="AB28" i="35"/>
  <c r="AB27" i="35"/>
  <c r="AB26" i="35"/>
  <c r="AB25" i="35"/>
  <c r="AB24" i="35"/>
  <c r="AB23" i="35"/>
  <c r="AB22" i="35"/>
  <c r="AB21" i="35"/>
  <c r="AB20" i="35"/>
  <c r="AB19" i="35"/>
  <c r="AB18" i="35"/>
  <c r="AB17" i="35"/>
  <c r="AB16" i="35"/>
  <c r="AB15" i="35"/>
  <c r="AB14" i="35"/>
  <c r="AB13" i="35"/>
  <c r="AB12" i="35"/>
  <c r="AB11" i="35"/>
  <c r="AB10" i="3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IAC CINDA</author>
  </authors>
  <commentList>
    <comment ref="A5" authorId="0" shapeId="0" xr:uid="{65870C59-9FE4-462D-B637-4BD8E12483FA}">
      <text>
        <r>
          <rPr>
            <b/>
            <sz val="9"/>
            <color indexed="81"/>
            <rFont val="Tahoma"/>
            <family val="2"/>
          </rPr>
          <t>IAC CINDA:</t>
        </r>
        <r>
          <rPr>
            <sz val="9"/>
            <color indexed="81"/>
            <rFont val="Tahoma"/>
            <family val="2"/>
          </rPr>
          <t xml:space="preserve">
Debe informar 20 ciclos de ingreso a la carrera de los últimos 10 años.
Ejemplo: si su periodo de información es 2022-2026, debe informar en esta tabla desde el ciclo 2017-1 (cohorte 1) al ciclo 2026-2 (cohorte 2).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IAC CINDA</author>
  </authors>
  <commentList>
    <comment ref="A5" authorId="0" shapeId="0" xr:uid="{A89F1A24-964F-4DC7-9631-19B2D60C9A4F}">
      <text>
        <r>
          <rPr>
            <b/>
            <sz val="9"/>
            <color indexed="81"/>
            <rFont val="Tahoma"/>
            <family val="2"/>
          </rPr>
          <t>IAC CINDA:</t>
        </r>
        <r>
          <rPr>
            <sz val="9"/>
            <color indexed="81"/>
            <rFont val="Tahoma"/>
            <family val="2"/>
          </rPr>
          <t xml:space="preserve">
Debe informar las 10 primeras cohortes de ingreso (año y ciclo) ingresadas en la pestaña "3.b.Cohortes semestre-ciclo"
Ejemplo: si su periodo de información es 2022-2026, debe informar en esta columna desde el ciclo 2017-1 (cohorte 1) al ciclo 2021-2 (cohorte 10).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IAC CINDA</author>
  </authors>
  <commentList>
    <comment ref="A6" authorId="0" shapeId="0" xr:uid="{E11F8BA6-32E9-4CDD-91D2-1CF2A29E2DB2}">
      <text>
        <r>
          <rPr>
            <b/>
            <sz val="9"/>
            <color indexed="81"/>
            <rFont val="Tahoma"/>
            <family val="2"/>
          </rPr>
          <t>IAC CINDA:</t>
        </r>
        <r>
          <rPr>
            <sz val="9"/>
            <color indexed="81"/>
            <rFont val="Tahoma"/>
            <family val="2"/>
          </rPr>
          <t xml:space="preserve">
Debe informar las 10 primeras cohortes de ingreso (año y ciclo) ingresadas en la pestaña "3.b.Cohortes semestre-ciclo"
Ejemplo: si su periodo de información es 2022-2026, debe informar en esta columna desde el ciclo 2017-1 (cohorte 1) al ciclo 2021-2 (cohorte 10).</t>
        </r>
      </text>
    </comment>
  </commentList>
</comments>
</file>

<file path=xl/sharedStrings.xml><?xml version="1.0" encoding="utf-8"?>
<sst xmlns="http://schemas.openxmlformats.org/spreadsheetml/2006/main" count="844" uniqueCount="647">
  <si>
    <t>Observaciones</t>
  </si>
  <si>
    <t>Institución</t>
  </si>
  <si>
    <t>Duración en años del programa</t>
  </si>
  <si>
    <t>Total de horas cronológicas del programa</t>
  </si>
  <si>
    <t>N° de estudiantes extranjeros ingresados en primer año</t>
  </si>
  <si>
    <t>N° de estudiantes de primer año que provienen de la educación pública</t>
  </si>
  <si>
    <t>N° de estudiantes de primer año que provienen de la educación privada</t>
  </si>
  <si>
    <t xml:space="preserve">Matrícula total hombres </t>
  </si>
  <si>
    <t xml:space="preserve">Matrícula total mujeres </t>
  </si>
  <si>
    <t>Datos generales admisión</t>
  </si>
  <si>
    <t xml:space="preserve">Total vacantes [A] + [B] </t>
  </si>
  <si>
    <t xml:space="preserve">N° estudiantes matriculados en primer año [C] </t>
  </si>
  <si>
    <t>Menor o igual a 18 años</t>
  </si>
  <si>
    <t xml:space="preserve">Matrícula total 1er año [C] + [D] </t>
  </si>
  <si>
    <t>Origen matrícula 1er año</t>
  </si>
  <si>
    <t>Distribución por tramo etario matrícula 1er año</t>
  </si>
  <si>
    <t>Tasa de deserción al primer año</t>
  </si>
  <si>
    <t>Tasa de deserción al tercer año</t>
  </si>
  <si>
    <t>Tasa de Titulación total</t>
  </si>
  <si>
    <t>Tasa de Titulación oportuna</t>
  </si>
  <si>
    <t>Tasa de titulación*</t>
  </si>
  <si>
    <t>Notas: Cohorte de ingreso (i)</t>
  </si>
  <si>
    <t>Tasa de deserción al segundo año</t>
  </si>
  <si>
    <t>Tasas de deserción*</t>
  </si>
  <si>
    <r>
      <t xml:space="preserve">* Fórmula: 
Tasa de egreso: ( </t>
    </r>
    <r>
      <rPr>
        <sz val="11"/>
        <color theme="1"/>
        <rFont val="Calibri"/>
        <family val="2"/>
      </rPr>
      <t>∑</t>
    </r>
    <r>
      <rPr>
        <sz val="11"/>
        <color theme="1"/>
        <rFont val="Calibri"/>
        <family val="2"/>
        <scheme val="minor"/>
      </rPr>
      <t xml:space="preserve">estudiantes egresados por cohorte (i) / N° estudiantes ingresados por cohorte (i)) * 100.
</t>
    </r>
  </si>
  <si>
    <t>Tasa de egreso por cohorte*</t>
  </si>
  <si>
    <t>Total estudiantes desertados por cohorte de ingreso</t>
  </si>
  <si>
    <t>Deserciones por motivos académicos</t>
  </si>
  <si>
    <t>Deserciones por motivos no académicos</t>
  </si>
  <si>
    <t>#</t>
  </si>
  <si>
    <t>Apellidos</t>
  </si>
  <si>
    <t>Nombres</t>
  </si>
  <si>
    <t xml:space="preserve">Cargo u ocupación principal </t>
  </si>
  <si>
    <t>Año de incorporación al consejo</t>
  </si>
  <si>
    <t>Mecanismo de selección o nombramiento</t>
  </si>
  <si>
    <t>Duración de su nombramiento (meses)</t>
  </si>
  <si>
    <t>Año de incorporación o contratación en la institución</t>
  </si>
  <si>
    <t>Unidad a la que pertenece</t>
  </si>
  <si>
    <t>Tipo de contrato</t>
  </si>
  <si>
    <t>Total de horas contratadas</t>
  </si>
  <si>
    <t xml:space="preserve">Total docentes [A]+[B]+[C] </t>
  </si>
  <si>
    <t>Descripción general de sus funciones</t>
  </si>
  <si>
    <t xml:space="preserve">Tipo de contrato </t>
  </si>
  <si>
    <t>Dedicación horaria</t>
  </si>
  <si>
    <t>Año</t>
  </si>
  <si>
    <t>Descripción de la beca o ayuda</t>
  </si>
  <si>
    <t>Instancia encargada de su gestión</t>
  </si>
  <si>
    <t>Actividad</t>
  </si>
  <si>
    <t>Responsable(s)</t>
  </si>
  <si>
    <t>Mecanismos de evaluación</t>
  </si>
  <si>
    <t xml:space="preserve">Año inicio   </t>
  </si>
  <si>
    <t>Nombre del proyecto</t>
  </si>
  <si>
    <t>Investigador(a) responsable</t>
  </si>
  <si>
    <t>N° académicos Tiempo Completo participantes</t>
  </si>
  <si>
    <t>N° académicos Tiempo Parcial participantes</t>
  </si>
  <si>
    <t>Actividades o productos desarrollados o comprometidos en el marco del proyecto</t>
  </si>
  <si>
    <t>Nombre de la Red</t>
  </si>
  <si>
    <t>Carácter (nacional, internacional)</t>
  </si>
  <si>
    <t>Institución responsable</t>
  </si>
  <si>
    <t>Instituciones asociadas</t>
  </si>
  <si>
    <t>Objetivos de la Red</t>
  </si>
  <si>
    <t>Breve descripción de la actividad</t>
  </si>
  <si>
    <t>Tipo de publicación</t>
  </si>
  <si>
    <t>Título de la publicación</t>
  </si>
  <si>
    <t>Autor(es)</t>
  </si>
  <si>
    <t>Revista</t>
  </si>
  <si>
    <t>Indexación</t>
  </si>
  <si>
    <t>Estado publicación</t>
  </si>
  <si>
    <t>ISSN</t>
  </si>
  <si>
    <t>DOI</t>
  </si>
  <si>
    <t>Link</t>
  </si>
  <si>
    <t>Editorial</t>
  </si>
  <si>
    <t>ISBN</t>
  </si>
  <si>
    <t>Título de la obra</t>
  </si>
  <si>
    <t>Formato o soportes</t>
  </si>
  <si>
    <t>Lugar(es) de exhibición</t>
  </si>
  <si>
    <t>Curadores</t>
  </si>
  <si>
    <t>Referencias</t>
  </si>
  <si>
    <t>Nombre de la patente</t>
  </si>
  <si>
    <t>Fecha de solictud</t>
  </si>
  <si>
    <t>Fecha de publicación</t>
  </si>
  <si>
    <t>Código de la patente</t>
  </si>
  <si>
    <t>Estado</t>
  </si>
  <si>
    <t>Descripción</t>
  </si>
  <si>
    <t xml:space="preserve">Destinatarios </t>
  </si>
  <si>
    <t>Créditos</t>
  </si>
  <si>
    <t>Cargo/ entidad</t>
  </si>
  <si>
    <t xml:space="preserve">1. Identificación de la carrera </t>
  </si>
  <si>
    <t xml:space="preserve">Identificación de la carrera </t>
  </si>
  <si>
    <t xml:space="preserve">Estadísticas estudiantes </t>
  </si>
  <si>
    <t xml:space="preserve">Condiciones de operación </t>
  </si>
  <si>
    <t xml:space="preserve">Investigación y vinculación con el medio </t>
  </si>
  <si>
    <t xml:space="preserve">24. Obras de creación </t>
  </si>
  <si>
    <t xml:space="preserve">25. Patentes </t>
  </si>
  <si>
    <t xml:space="preserve">Grado académico o título </t>
  </si>
  <si>
    <t>Edad</t>
  </si>
  <si>
    <t>ÍNDICE</t>
  </si>
  <si>
    <t>GÚIA DE ANTECEDENTES PARA LA ACREDITACIÓN DE CARRERAS DE PREGRADO</t>
  </si>
  <si>
    <t>Registro de propiedad intelectual</t>
  </si>
  <si>
    <t>Año de inicio del programa</t>
  </si>
  <si>
    <t>Programa</t>
  </si>
  <si>
    <t>DATOS DE IDENTIFICACIÓN DEL PROGRAMA</t>
  </si>
  <si>
    <t>Año de término</t>
  </si>
  <si>
    <t>Duración total (meses)</t>
  </si>
  <si>
    <t xml:space="preserve">Resumen general </t>
  </si>
  <si>
    <t xml:space="preserve">Tipo de proyecto </t>
  </si>
  <si>
    <t>Información general del proyecto</t>
  </si>
  <si>
    <t>Nombre(s)</t>
  </si>
  <si>
    <t xml:space="preserve">Programa </t>
  </si>
  <si>
    <t xml:space="preserve">Impacto y productos comprometidos </t>
  </si>
  <si>
    <t>Impacto del proyecto para el desarrollo del programa</t>
  </si>
  <si>
    <t xml:space="preserve">Financiamiento y apoyos </t>
  </si>
  <si>
    <t>Origen del financiamiento externo</t>
  </si>
  <si>
    <t xml:space="preserve">Participación de actores del programa </t>
  </si>
  <si>
    <t xml:space="preserve">Encargado(a) vinculación con la Red en el programa </t>
  </si>
  <si>
    <t>Resutados e impacto</t>
  </si>
  <si>
    <t>Actividades desarrolladas o comprometidas en el marco de la participación del programa en la Red</t>
  </si>
  <si>
    <t>Productos  desarrollados o comprometidos en el marco de la participación del programa en la Red</t>
  </si>
  <si>
    <t>Mecanismos de difusión de actividades y productos de esta Red entre actores clave del programa</t>
  </si>
  <si>
    <t xml:space="preserve">Cantidad disponible </t>
  </si>
  <si>
    <t>N° académicos a Tiempo Parcial participantes</t>
  </si>
  <si>
    <t xml:space="preserve">Observaciones </t>
  </si>
  <si>
    <t>Número máximo de estudiantes por sección</t>
  </si>
  <si>
    <t>Semestre o ciclo al que va dirigido</t>
  </si>
  <si>
    <t>Número de veces en que se dicta cada año</t>
  </si>
  <si>
    <t>Nombre de la asignatura o actividad curricular</t>
  </si>
  <si>
    <t>¿Tiene pre-requisitos? (si/no)</t>
  </si>
  <si>
    <t>Gestión</t>
  </si>
  <si>
    <t>Docencia</t>
  </si>
  <si>
    <t>Investigación</t>
  </si>
  <si>
    <t xml:space="preserve">Otras </t>
  </si>
  <si>
    <t>Horas contratadas según tipo de actividad</t>
  </si>
  <si>
    <t>Horas contratadas</t>
  </si>
  <si>
    <t xml:space="preserve">Número de docentes [A] </t>
  </si>
  <si>
    <t xml:space="preserve">Grado académico </t>
  </si>
  <si>
    <t xml:space="preserve">Doctor </t>
  </si>
  <si>
    <t>Magister</t>
  </si>
  <si>
    <t>Licenciado</t>
  </si>
  <si>
    <t>Sin título ni grado</t>
  </si>
  <si>
    <t xml:space="preserve">Horas máximas </t>
  </si>
  <si>
    <t xml:space="preserve">Horas minimas </t>
  </si>
  <si>
    <t xml:space="preserve">Número de docentes [B] </t>
  </si>
  <si>
    <t xml:space="preserve">Número de docentes [C] </t>
  </si>
  <si>
    <t xml:space="preserve">Entre 36 y 50  años </t>
  </si>
  <si>
    <t xml:space="preserve">Entre 51 y 65 años </t>
  </si>
  <si>
    <t xml:space="preserve">Mayores de 65 años </t>
  </si>
  <si>
    <t>Menores de 35 años</t>
  </si>
  <si>
    <t>Categoría 1</t>
  </si>
  <si>
    <t>Categoría 2</t>
  </si>
  <si>
    <t>Categoría 3</t>
  </si>
  <si>
    <t>Categoría 4</t>
  </si>
  <si>
    <t>Categoría 5</t>
  </si>
  <si>
    <t>Entidades o personas que participan de la evaluación y actualización del plan de estudios del programa</t>
  </si>
  <si>
    <t>Integrantes del Consejo de la unidad responsable del programa o su equivalemte</t>
  </si>
  <si>
    <t>N° de tesis o trabajos de titulación que ha dirigido</t>
  </si>
  <si>
    <t>N° de cursos o asignaturas que ha impartido</t>
  </si>
  <si>
    <t>Año de incorporación a la institución</t>
  </si>
  <si>
    <t>Número de horas cronológicas destinadas a docencia directa (según reglamento)</t>
  </si>
  <si>
    <t>Contrato y carga</t>
  </si>
  <si>
    <t xml:space="preserve">Nombre de los cursos o asignaturas </t>
  </si>
  <si>
    <t xml:space="preserve">Otros </t>
  </si>
  <si>
    <t xml:space="preserve">Horas </t>
  </si>
  <si>
    <t>Institución o entidad responsable de su dictado</t>
  </si>
  <si>
    <t>Relación con los requerimientos y orientaciones prioritarias del programa</t>
  </si>
  <si>
    <t xml:space="preserve">Total </t>
  </si>
  <si>
    <t xml:space="preserve">Parcial (Indique porcentaje) </t>
  </si>
  <si>
    <t>Meses</t>
  </si>
  <si>
    <t xml:space="preserve">Semestres </t>
  </si>
  <si>
    <t xml:space="preserve">Nombre </t>
  </si>
  <si>
    <t>Destinatarios</t>
  </si>
  <si>
    <t xml:space="preserve">Institucional </t>
  </si>
  <si>
    <t xml:space="preserve">Facultad </t>
  </si>
  <si>
    <t>Número total de estudiantes beneficiarios</t>
  </si>
  <si>
    <t xml:space="preserve">Identificación e información general </t>
  </si>
  <si>
    <t xml:space="preserve">JEFES DE PRÁCTICA VINCULADOS AL PROGRAMA (DATOS DEL ÚLTIMO AÑO DE REFERENCIA) </t>
  </si>
  <si>
    <t xml:space="preserve">Año de referencia </t>
  </si>
  <si>
    <t xml:space="preserve">CARACTERIZACIÓN DE LOS ACADÉMICOS LIGADOS AL PROGRAMA (ÚLTIMO 5 AÑOS) </t>
  </si>
  <si>
    <t>Año de referencia</t>
  </si>
  <si>
    <t xml:space="preserve">Identificación de la beca o ayuda </t>
  </si>
  <si>
    <t>Beneficiarios</t>
  </si>
  <si>
    <t>Duración del apoyo</t>
  </si>
  <si>
    <t>Nombre del servicio o programa</t>
  </si>
  <si>
    <t>Número               (A)</t>
  </si>
  <si>
    <t>Porcentaje (%)  (respecto del total de matriculados)</t>
  </si>
  <si>
    <t xml:space="preserve">Programa (C) </t>
  </si>
  <si>
    <t xml:space="preserve">Programa (D) </t>
  </si>
  <si>
    <t xml:space="preserve">Jefes de práctica                             </t>
  </si>
  <si>
    <t xml:space="preserve">Personal no académico                 </t>
  </si>
  <si>
    <t xml:space="preserve">Egresados                     </t>
  </si>
  <si>
    <t>Número               (a)</t>
  </si>
  <si>
    <t xml:space="preserve">Programa (B) </t>
  </si>
  <si>
    <t xml:space="preserve">Institución (b) </t>
  </si>
  <si>
    <t>Institución (c)</t>
  </si>
  <si>
    <t>Institución (d)</t>
  </si>
  <si>
    <t xml:space="preserve">Programa (E) </t>
  </si>
  <si>
    <t>Institución (e)</t>
  </si>
  <si>
    <t xml:space="preserve">Total de beneficiarios a nivel institucional (a+b+c+d+e+f)  </t>
  </si>
  <si>
    <t>Identificación general de los servicios o programas</t>
  </si>
  <si>
    <t>Beneficiarios directos</t>
  </si>
  <si>
    <t>Estudiantes de la institución</t>
  </si>
  <si>
    <t xml:space="preserve">Estudiantes del programa </t>
  </si>
  <si>
    <t>Identificación general de los recursos</t>
  </si>
  <si>
    <t xml:space="preserve">Usuarios del programa </t>
  </si>
  <si>
    <t xml:space="preserve">Estudiantes </t>
  </si>
  <si>
    <t xml:space="preserve">N° Estudiantes </t>
  </si>
  <si>
    <t xml:space="preserve">N° Jefes de práctica </t>
  </si>
  <si>
    <t>N° Total de usuarios</t>
  </si>
  <si>
    <t xml:space="preserve">Breve descripción </t>
  </si>
  <si>
    <t xml:space="preserve">Tesistas </t>
  </si>
  <si>
    <t xml:space="preserve">Profesores tiempo completo </t>
  </si>
  <si>
    <t xml:space="preserve">Profesores tiempo parcial </t>
  </si>
  <si>
    <t>Jefes de práctica</t>
  </si>
  <si>
    <t xml:space="preserve">Descripción general de las actividades </t>
  </si>
  <si>
    <t>Responsable</t>
  </si>
  <si>
    <t>Participantes</t>
  </si>
  <si>
    <t xml:space="preserve">Actividades o productos desarrollados o comprometidos en el marco de la actividad </t>
  </si>
  <si>
    <t>Mecanismos de difusión de la actividad y sus resultados entre actores clave del programa</t>
  </si>
  <si>
    <t>Línea de investigación o área de desarrollo del programa en la que se integra</t>
  </si>
  <si>
    <t xml:space="preserve">Mecanismos utilizados para evaluar la actividad </t>
  </si>
  <si>
    <t>Impacto proyectado para el desarrollo del programa</t>
  </si>
  <si>
    <t xml:space="preserve">Impacto en el programa, evaluación y productos comprometidos </t>
  </si>
  <si>
    <t xml:space="preserve">PROYECTOS DE INVESTIGACIÓN DESARROLLADOS POR DOCENTES E INVESTIGADORES DEL PROGRAMA DURANTE LOS ÚLTIMOS 5 AÑOS </t>
  </si>
  <si>
    <t>Institución a la que pertenece</t>
  </si>
  <si>
    <t xml:space="preserve">Co-Investigador(a)(s) responsable(s) </t>
  </si>
  <si>
    <t>Linea(s) de investigación del programa en la que se integra</t>
  </si>
  <si>
    <t xml:space="preserve">Estudiantes de otros programas de la institución  </t>
  </si>
  <si>
    <t xml:space="preserve">Tesistas del programa </t>
  </si>
  <si>
    <t xml:space="preserve">Tesistas de otros  programas pregrado de la institución </t>
  </si>
  <si>
    <t>Tesistas de   posgrado de otras instituciones</t>
  </si>
  <si>
    <t xml:space="preserve">Graduados o titulados del programa </t>
  </si>
  <si>
    <t xml:space="preserve">Académicos de otros programas o unidades de la institución </t>
  </si>
  <si>
    <t xml:space="preserve">Académicos de Tiempo Parcial del programa </t>
  </si>
  <si>
    <t xml:space="preserve">Académicos de Tiempo Completo del programa  </t>
  </si>
  <si>
    <t xml:space="preserve">Académicos externos a la institución asociados al proyecto </t>
  </si>
  <si>
    <t xml:space="preserve">Nombres </t>
  </si>
  <si>
    <t xml:space="preserve">N° total </t>
  </si>
  <si>
    <t>Programa o unidad</t>
  </si>
  <si>
    <t>Total</t>
  </si>
  <si>
    <t>Estudiantes y tesistas de pregrado (número total)</t>
  </si>
  <si>
    <t xml:space="preserve">Estudiantes de postgrado de la institución </t>
  </si>
  <si>
    <t xml:space="preserve">Estudiantes de postgrado de otras instituciones </t>
  </si>
  <si>
    <t xml:space="preserve">Tesistas de posgrado de la institución </t>
  </si>
  <si>
    <t>Estudiantes y tesistas de posgrado (número total)</t>
  </si>
  <si>
    <t>La industria</t>
  </si>
  <si>
    <t>La comunidad académica y disciplinar nacional e internacional</t>
  </si>
  <si>
    <t xml:space="preserve">El público general y el entorno significativo del programa  </t>
  </si>
  <si>
    <t xml:space="preserve">Jefes de práctica (N°) </t>
  </si>
  <si>
    <t xml:space="preserve">Investigadores posdoctorales (N°) </t>
  </si>
  <si>
    <t xml:space="preserve">REDES DE COLABORACIÓN NACIONALES E INTERNACIONALES EN LAS QUE SE INSERTA EL PROGRAMA O SU UNIDAD RESPONSABLE </t>
  </si>
  <si>
    <t>ACTIVIDADES DE EXTENSIÓN MÁS RELEVANTES DESARROLLADAS POR EL PROGRAMA EN LOS ÚLTIMOS 5 AÑOS</t>
  </si>
  <si>
    <t>Costo total de la actividad</t>
  </si>
  <si>
    <t xml:space="preserve">Partcipantes </t>
  </si>
  <si>
    <t>Resultados</t>
  </si>
  <si>
    <t xml:space="preserve">Descripción general </t>
  </si>
  <si>
    <t>Inicio</t>
  </si>
  <si>
    <t xml:space="preserve">Fin </t>
  </si>
  <si>
    <t xml:space="preserve">Descripción </t>
  </si>
  <si>
    <t>Año de desarrollo</t>
  </si>
  <si>
    <t>Periodicidad con que desarrolla su labor</t>
  </si>
  <si>
    <t xml:space="preserve">Grados académicos o títulos </t>
  </si>
  <si>
    <t>Grado o título 1</t>
  </si>
  <si>
    <t>Grado o título 2</t>
  </si>
  <si>
    <t>Grado o título 3</t>
  </si>
  <si>
    <t xml:space="preserve">Identificación general </t>
  </si>
  <si>
    <t>Registro histórico de cursos o asignaturas en las que se ha desempeñado (últimos 5 años)</t>
  </si>
  <si>
    <t>Nombre de la beca o ayuda socioeconómica</t>
  </si>
  <si>
    <t>Institución u organo que lo entrega</t>
  </si>
  <si>
    <t xml:space="preserve">Docentes e investigadores                 </t>
  </si>
  <si>
    <t xml:space="preserve">N° docentes e investigadores </t>
  </si>
  <si>
    <t xml:space="preserve">Recursos no monetarios </t>
  </si>
  <si>
    <t>N° académicos del programa o su unidad involucrados</t>
  </si>
  <si>
    <t>N° estudiantes del programa involucrados</t>
  </si>
  <si>
    <t>Beneficiarios o contrapartes</t>
  </si>
  <si>
    <t xml:space="preserve">Mecanismos de difusión </t>
  </si>
  <si>
    <t xml:space="preserve">Presupuesto e ingresos generados </t>
  </si>
  <si>
    <t xml:space="preserve">Institución responsable de la publicación </t>
  </si>
  <si>
    <t>Título</t>
  </si>
  <si>
    <t>¿Tiene refereto externo? (sí/no)</t>
  </si>
  <si>
    <t>Título del libro (Si es un capítulo)</t>
  </si>
  <si>
    <t>Autor(es) del libro (Si es un capítulo)</t>
  </si>
  <si>
    <t>Fecha de inauguración, lanzamiento o estreno (formato fecha corta)</t>
  </si>
  <si>
    <t>Estado publicación (Seleccionar una de las siguientes: enviado, en revisión, aceptado, publicado)</t>
  </si>
  <si>
    <t xml:space="preserve">Tipo de revista (nacional, internacional) </t>
  </si>
  <si>
    <t>ESTADÍSTICAS DE ADMISIÓN DEL PROGRAMA (POR AÑO)</t>
  </si>
  <si>
    <t xml:space="preserve">Número total de estudiantes matriculados (año en curso) </t>
  </si>
  <si>
    <t>Modalidad(es) en que se dicta</t>
  </si>
  <si>
    <t>Jornada(es) en que se dicta</t>
  </si>
  <si>
    <t>Total de créditos</t>
  </si>
  <si>
    <t>N° de estudiantes de primer año provenientes de una ciudad del país distinta de aquella donde se dicta la carrera</t>
  </si>
  <si>
    <t xml:space="preserve">N° de vacantes procesos especiales [B] </t>
  </si>
  <si>
    <t>Deserción total</t>
  </si>
  <si>
    <t>ASIGNATURAS Y ACTIVIDADES CURRICULARES DEL PLAN DE ESTUDIOS VIGENTE MÁS ACTUAL</t>
  </si>
  <si>
    <t>Esta sección recopila información que permite caracterizar a los estudiantes matriculados en el primer año del programa en los últimos 5 años. Aquí también se solicitan datos acerca de las vacantes ofrecidas por el programa en este período.</t>
  </si>
  <si>
    <t>INSTRUCTIVO GENERAL PARA COMPLETAR LA GUÍA DE ANTECEDENTES</t>
  </si>
  <si>
    <t xml:space="preserve">Esta sección aporta datos generales sobre el programa, su jornada, modalidades y las sedes en que se dicta. Asimismo, recopila información acerca de las áreas del conocimiento OCDE en las que el programa se integra.  </t>
  </si>
  <si>
    <t xml:space="preserve">N° de vacantes ordinarias [A]  </t>
  </si>
  <si>
    <r>
      <t xml:space="preserve">N° estudiantes matriculados vía proceso especial [D]                                  </t>
    </r>
    <r>
      <rPr>
        <b/>
        <sz val="8"/>
        <color theme="1"/>
        <rFont val="Calibri"/>
        <family val="2"/>
        <scheme val="minor"/>
      </rPr>
      <t xml:space="preserve"> </t>
    </r>
  </si>
  <si>
    <t xml:space="preserve">Vacantes ordinarias                               </t>
  </si>
  <si>
    <r>
      <t xml:space="preserve">Vacantes especiales                                </t>
    </r>
    <r>
      <rPr>
        <b/>
        <sz val="8"/>
        <color theme="1"/>
        <rFont val="Calibri"/>
        <family val="2"/>
        <scheme val="minor"/>
      </rPr>
      <t xml:space="preserve">     </t>
    </r>
    <r>
      <rPr>
        <b/>
        <sz val="12"/>
        <color theme="1"/>
        <rFont val="Calibri"/>
        <family val="2"/>
        <scheme val="minor"/>
      </rPr>
      <t xml:space="preserve">                  </t>
    </r>
  </si>
  <si>
    <t>Al completar esta parte de la tabla es necesario tener a la vista que puede haber estudiantes que cumplan, al mismo tiempo, con más de una característica. Por tanto, es necesario trabajar cada columna de manera independiente</t>
  </si>
  <si>
    <t>Por vacantes ordinarias se entenderán los cupos definidos por un programa como disponibles para recibir a nuevos estudiantes a través de mecanismos regulares o generales de ingreso</t>
  </si>
  <si>
    <t>Por vacantes especiales se entenderán los cupos definidos por un programa como disponibles para recibir a nuevos estudiantes a través de mecanismos de ingreso extraordinarios (Por ejemplo: cupos con ingreso diferenciado para deportistas destacados; para estudiantes formados en el extranjero; por equidad de género, para estudiantes de pueblos indígenas o en situación de discapacidad)</t>
  </si>
  <si>
    <t>Se considerará deserción el caso de aquellos estudiantes que abandonen el programa. Debe incorporarse en esta definición a aquellos estudiantes que habiendo congelado o suspendido sus estudios no se reintegren activamente al programa en los dos semestres o ciclos posteriores a dicha suspensión</t>
  </si>
  <si>
    <t>Esta sección recoge información sobre el egreso de los estudiantes del programa, permitiendo conocer el número de años que los estudiantes del programa tardan en completar el conjunto de actividades lectivas integradas en su plan de estudios. Asimismo, entrega información acerca de la tasa de egreso por cohorte.</t>
  </si>
  <si>
    <t xml:space="preserve">Porcentaje de estudiantes que logra el cumplimiento de todas las actividades formativas, de egreso y de titulación asociadas a un programa de estudios dentro del tiempo proyectado para la duración de su desarrollo, más dos semestres o ciclos. </t>
  </si>
  <si>
    <t xml:space="preserve">Semestre o ciclo de la malla en que se dicta </t>
  </si>
  <si>
    <t>Línea Formativa en la que se integra</t>
  </si>
  <si>
    <t>Porcentaje de estudiantes del programa que egresa por cohorte.</t>
  </si>
  <si>
    <t>Linea de investigación con la que se relaciona</t>
  </si>
  <si>
    <t>Esta sección de la Guía de antecedentes recoge información sobre el plan de estudios del programa y los fundamentos generales que lo orientan.</t>
  </si>
  <si>
    <t>Esta sección recoge información sobre las asignaturas o actividades electivas u optativas ofrecidas a los estudiantes del programa como parte de su malla curricular y los fundamentos que lo orientan.</t>
  </si>
  <si>
    <t xml:space="preserve">Esta sección recoge información acerca de las entidades encargadas de la actualización del plan de estudios. </t>
  </si>
  <si>
    <t>Esta sección reune información acerca del Consejo de la unidad responsable del programa, incorporando datos acerca de su composición y de los mecanismos de elección de sus integranes.</t>
  </si>
  <si>
    <t>Esta sección busca construir un panorama general acerca de la composición y mecanismos de contratación del cuerpo académico ligado al programa.</t>
  </si>
  <si>
    <t>Nombre</t>
  </si>
  <si>
    <t>Breve descripción</t>
  </si>
  <si>
    <t xml:space="preserve">Año </t>
  </si>
  <si>
    <t xml:space="preserve">Datos de identificación de docentes e investigadores participantes </t>
  </si>
  <si>
    <t xml:space="preserve">Esta sección recopila información sobre las instancias de perfeccionamiento académico (capacitaciones, especializaciones o estudios de posgrado) que los docentes e investigadores del programa han llevado adelante en los últimos 5 años, es decir, está centrada en la puesta en valor de las acciones que el programa o su institución responsable han impulsado con el fin de consolidar un cuerpo académico de excelencia. </t>
  </si>
  <si>
    <t>Año de incorporación al programa o a su unidad responsable</t>
  </si>
  <si>
    <t>Título o grado académico</t>
  </si>
  <si>
    <t xml:space="preserve">Esta sección recoge información acerca del equipo de gestión, administración y apoyo técnico que trabaja para el desarrollo de las actividades asociadas al desarrollo de la carrera. </t>
  </si>
  <si>
    <t xml:space="preserve">Respecto del total de estudiantes matriculados en el programa durante el período reportado </t>
  </si>
  <si>
    <t xml:space="preserve">Porcentaje (%) de estudiantes beneficiarios </t>
  </si>
  <si>
    <t>Requisitos de potulación</t>
  </si>
  <si>
    <t>Duración del beneficio</t>
  </si>
  <si>
    <t xml:space="preserve">Nombre de la beca o ayuda económica </t>
  </si>
  <si>
    <t>Esta sección recoge información sobre las becas y ayudas socioeconómicas para estudiantes ofrecidas por el programa o su institución resposable, con énfasis en los beneficiarios y las condiciones generales de obtención de los apoyos.</t>
  </si>
  <si>
    <t>Requisitos de postulación para estudiantes</t>
  </si>
  <si>
    <t>Requisitos de elegibilidad para las instituciones o programas de los potenciales beneficiarios</t>
  </si>
  <si>
    <t>Condiciones de renovación y mantenimiento de la beca o ayuda</t>
  </si>
  <si>
    <t xml:space="preserve">Números totales </t>
  </si>
  <si>
    <t>según tipo de usuario</t>
  </si>
  <si>
    <t>RECURSOS EDUCATIVOS UTILIZADOS PARA EL DESARROLLO DE LAS ACTIVIDADES LECTIVAS ASOCIADAS AL PLAN DE ESTUDIOS DEL PROGRAMA (DATOS DEL ÚLTIMO AÑO DE REFERENCIA)</t>
  </si>
  <si>
    <t xml:space="preserve">Esta sección recoge información acerca de los servicios de bienestar universitario ofrecidos por el programa o su institución responsable, atendiendo a su alcance, impacto y características generales. </t>
  </si>
  <si>
    <t>Nombre del recurso</t>
  </si>
  <si>
    <t xml:space="preserve">Requisitos y reglamentos para su utilización </t>
  </si>
  <si>
    <t>Colección, repositorio, insumo tecnológico, etc</t>
  </si>
  <si>
    <t>Congresos, seminarios, pasantías, intercambios, o reuniones técnicas</t>
  </si>
  <si>
    <t>Fin</t>
  </si>
  <si>
    <t xml:space="preserve">Rol desempeñado en la actividad </t>
  </si>
  <si>
    <t xml:space="preserve">Expresar en moneda local </t>
  </si>
  <si>
    <t xml:space="preserve">ACTIVIDADES DE DESARROLLO ACADÉMICO (ÚLTIMOS 5 AÑOS) 
</t>
  </si>
  <si>
    <t xml:space="preserve">País </t>
  </si>
  <si>
    <t xml:space="preserve">Institución u organismo en que se llevó a cabo </t>
  </si>
  <si>
    <t xml:space="preserve">Ciudad en que se realizó  </t>
  </si>
  <si>
    <t xml:space="preserve">Esta sección recopila información acerca de las actividades de desarrollo académico llevadas adelante por docentes e investigadores(as) del programa, atendiendo a sus características generales, impacto, evaluación y recursos vinculados. Entenderemos como actividades de desarrollo académico la participación en congresos, seminarios, pasantías, intercambios y reuniones técnicas nacionales o internacionales. </t>
  </si>
  <si>
    <t xml:space="preserve"> Financiamiento interno  (del programa o la institución) </t>
  </si>
  <si>
    <t xml:space="preserve">Financiamiento externo (aportado por una institución ajena a la universidad)  </t>
  </si>
  <si>
    <t xml:space="preserve">Porcentaje (%) del costo total  de la actividad aportado </t>
  </si>
  <si>
    <t xml:space="preserve"> Utilización de espacios físicos, donaciones de material institucional, apoyos para promocionar el evento, colaboraciones, etc.</t>
  </si>
  <si>
    <t xml:space="preserve">Financiamiento, apoyos y recursos utilizados </t>
  </si>
  <si>
    <t xml:space="preserve">Apoyos no monetarios </t>
  </si>
  <si>
    <t>Días de permiso, liberación de horas para equipo responsable, días libres compensatoríos, etc</t>
  </si>
  <si>
    <t xml:space="preserve"> Indique el porcentaje (%) del costo total de la actividad financiado con recursos pertenecientes al responsable de la actividad o su equipo de trabajo y no aportados ni por la institución ni por proyectos externos</t>
  </si>
  <si>
    <t xml:space="preserve">Autofinanciado      </t>
  </si>
  <si>
    <t xml:space="preserve">Tipo                             </t>
  </si>
  <si>
    <r>
      <t xml:space="preserve">Período en que se realizó   </t>
    </r>
    <r>
      <rPr>
        <sz val="8"/>
        <color theme="1"/>
        <rFont val="Calibri (Cuerpo)"/>
      </rPr>
      <t xml:space="preserve">        </t>
    </r>
  </si>
  <si>
    <t xml:space="preserve">Formato fecha corta </t>
  </si>
  <si>
    <r>
      <rPr>
        <sz val="12"/>
        <color rgb="FF000000"/>
        <rFont val="Calibri"/>
        <family val="2"/>
        <scheme val="minor"/>
      </rPr>
      <t>Esta sección recopila información sobre los proyectos de investigación liderados o conducidos por docentes e investigadores del programa, atendiendo a sus características generales; equipo responsable; participantes; resultados; productos y financiamiento (entre otros elementos).</t>
    </r>
    <r>
      <rPr>
        <b/>
        <sz val="12"/>
        <color rgb="FF000000"/>
        <rFont val="Calibri"/>
        <family val="2"/>
        <scheme val="minor"/>
      </rPr>
      <t xml:space="preserve"> </t>
    </r>
  </si>
  <si>
    <t>1er año</t>
  </si>
  <si>
    <t>2do año</t>
  </si>
  <si>
    <t>3er año</t>
  </si>
  <si>
    <t>4to año</t>
  </si>
  <si>
    <t>5to año</t>
  </si>
  <si>
    <t>&gt; 5to años</t>
  </si>
  <si>
    <t xml:space="preserve">Para completar esta sección se solicita que, en aquellas columnas en que haga falta integrar más de un elemento, cada uno de ellos vaya separado de los demás con un punto y coma (;). </t>
  </si>
  <si>
    <t xml:space="preserve">Esta sección recoge información acerca de las redes de colaboración nacionales e internacionales de las que participa el programa o su unidad responsable, atendiendo a su carácter, objetivos, resultados o impacto, y a los mecanismos de vinculación desarrollados por el programa en torno a ellas  </t>
  </si>
  <si>
    <t xml:space="preserve">N° de estudiantes del programa participantes </t>
  </si>
  <si>
    <t xml:space="preserve">En el marco propuesto por esta parta de la Guía de antecedentes, entenderemos por extensión aquellas actividades ligadas a la vinculación con el medio que impulsan intercambios de saberes científicos, tecnológicos y culturales entre el programa y su entorno significativo. </t>
  </si>
  <si>
    <t>N° académicos del programa o su unidad responsable involucrados</t>
  </si>
  <si>
    <t>N° estudiantes del programa o su unidad responsable involucrados</t>
  </si>
  <si>
    <t>Financiamiento interno (del programa o la institución)</t>
  </si>
  <si>
    <t xml:space="preserve"> Financiamiento externo (ajeno a la institución) </t>
  </si>
  <si>
    <t xml:space="preserve">Impacto para el desarrollo del programa </t>
  </si>
  <si>
    <t>Impacto para el publico objetivo de la actividad</t>
  </si>
  <si>
    <t xml:space="preserve">Publico o comunidades al que está dirigida la actividad </t>
  </si>
  <si>
    <t>Relación con los objetivos o líneas de investigación del programa</t>
  </si>
  <si>
    <t xml:space="preserve">ACTIVIDADES DE PRESTACIÓN DE SERVICIOS  DESARROLLADAS POR EL PROGRAMA O SU UNIDAD RESPONSABLE (ÚLTIMOS 5 AÑOS) </t>
  </si>
  <si>
    <t xml:space="preserve">En esta sección se recopila información sobre las actividades de prestación de servicio llevadas adelante por el programa o su unidad responsable en los últimos 5 años, atendiendo a sus características generales, sus participantes, su impacto en el programa y en sus usuarios o contrapartes, entre otros elementos. </t>
  </si>
  <si>
    <t>Público objetivo, usuarios o contrapartes</t>
  </si>
  <si>
    <t xml:space="preserve">Autor(es) del programa </t>
  </si>
  <si>
    <t>Autores externos al programa</t>
  </si>
  <si>
    <t>Identificación general del artículo</t>
  </si>
  <si>
    <t>Características de la publicación</t>
  </si>
  <si>
    <t xml:space="preserve">Identificadores y referencias </t>
  </si>
  <si>
    <t xml:space="preserve">LIBROS Y CAPITULOS DE LIBROS DESARROLLADOS POR LOS ACADÉMICOS DEL PROGRAMA (ÚLTIMOS 5 AÑOS) </t>
  </si>
  <si>
    <t>En esta sección se recolecta información acerca de los libros y capítulos de libro escritos por los docentes e investigadores del programa en los últimos 5 años. En caso de que una publicación tenga más de un autor o autora incluir sus nombres separados por punto y coma (;).</t>
  </si>
  <si>
    <t xml:space="preserve">OBRAS DE CREACIÓN DESARROLLADAS POR LOS ACADÉMICOS DEL PROGRAMA (ÚLTIMOS 5 AÑOS) </t>
  </si>
  <si>
    <t>Esta sección recopila información acerca de las obras de creación desarrolladas por docentes e investigadores del programa, en los últimos 5 años.</t>
  </si>
  <si>
    <t xml:space="preserve">En el contexto de esta Guía se entenderá como obra de creación a aquellas que representen aportes originales al conocimiento y el avance de las artes, la arquitectura, el diseño, las humanidades, el rescate patrimonial y la cultura o el conocimiento en general, y que hayan sido realizadas en el marco de un proyecto o iniciativa reconocida.  </t>
  </si>
  <si>
    <t>Linea de investigación del programa con la que se desarrolla</t>
  </si>
  <si>
    <t>PATENTES DESARROLLADAS POR LOS ACADÉMICOS DEL PROGRAMA (ÚLTIMOS 5 AÑOS)</t>
  </si>
  <si>
    <t xml:space="preserve">Esta sección recopila información sobre el desarrollo de patentes llevado a cabo por los docentes e investigadores del programa. </t>
  </si>
  <si>
    <t>Línea de investigación del programa en  la que se inserta</t>
  </si>
  <si>
    <t xml:space="preserve">OBJETIVOS Y LINEAS  DE INVESTIGACIÓN DEL PROGRAMA </t>
  </si>
  <si>
    <t xml:space="preserve">Esta sección recopila información sobre  los objetivos y líneas de investigación del programa </t>
  </si>
  <si>
    <t xml:space="preserve">Líneas de investigación </t>
  </si>
  <si>
    <t>Perfil de ingreso del programa</t>
  </si>
  <si>
    <t>SERVICIOS O PROGRAMAS DE BIENESTAR UNIVERSITARIO INTEGRAL OFRECIDOS A LA COMUNIDAD ACADÉMICA DEL PROGRAMA POR ESTE O SU INSTITUCIÓN RESPONSABLE  (DATOS DEL ÚLTIMO AÑO DE REFERENCIA)</t>
  </si>
  <si>
    <t>BECAS Y AYUDAS SOCIOECONÓMICAS OFRECIDAS POR ORGANISMOS EXTERNOS A LA INSTITUCIÓN A LOS QUE ACCEDIERON LOS ESTUDIANTES DEL PROGRAMA (ÚLTIMO AÑO DE REFERENCIA)</t>
  </si>
  <si>
    <t>BECAS Y AYUDAS SOCIOECONÓMICAS PARA ESTUDIANTES OFRECIDAS POR EL PROGRAMA O LA INSTITUCIÓN (ÚLTIMO AÑO DE REFERENCIA)</t>
  </si>
  <si>
    <t>DOCENTES E INVESTIGADORES DEL PROGRAMA QUE HAN CURSADO O SEGUIDO INSTANCIAS DE PERFECCIONAMIENTO ACADÉMICO (ÚLTIMOS  5  AÑOS)</t>
  </si>
  <si>
    <t>CUERPO ACADÉMICO VINCULADO AL PROGRAMA (ÚLTIMO AÑO DE REFERENCIA)</t>
  </si>
  <si>
    <t>La Guía de antecedentes IAC-CINDA es un documento de apoyo a la recolección, producción, gestión y análisis de información para los programas que desarrollan su autoevaluación en el marco de procesos conducentes a la acreditación con el Instituto.</t>
  </si>
  <si>
    <t xml:space="preserve">El desarrollo de un proceso de autoevaluación exige rigurosidad metodológica en la obtención y procesamiento de la información. Esto permite sustentar los análisis y juicios evaluativos desarrollados por cada programa de manera adecuada, otorgando validez y confiabilidad a las conclusiones expresadas acerca de su calidad y desempeño. </t>
  </si>
  <si>
    <t>Cada programa deberá completar esta Guía y acompañar con ella a su informe de autoevaluación, por lo tanto, deberá ser completada de la manera más detallada y rigurosa posible, incluyendo en ella la información y anexos requeridos en cada apartado.</t>
  </si>
  <si>
    <t xml:space="preserve">IAC-CINDA recomienda no borrar secciones ni alterar la estructura base de la Guía de antecedentes durante el proceso de incorporación de los datos solicitados en ella, a fin de evitar la alteración de las formulas asociadas a algunos de sus campos o a la perdida de perspectiva respecto a los objetivos de cada apartado. </t>
  </si>
  <si>
    <t>Si su programa no cuenta con información sobre alguna de los apartados de la Guía de antecedentes, se solicita no dejar el espacio en blanco, sino completar dicho campo señalando “no aplica” o “sin información”. Asimismo, es importante considerar que cada hoja de la Guía de antecedentes tiene una sección especial dedicada a la incorporación de observaciones, esta puede ser utilizada en caso de que sea necesario aclarar o explicar algún término propio de la gestión del programa que requiera una mirada especial o una nota para quienes accedan a este documento.</t>
  </si>
  <si>
    <t>Sede(s) en que se dicta (separadas por punto y coma (;)</t>
  </si>
  <si>
    <t>Perfil de egreso del programa</t>
  </si>
  <si>
    <t>Objetivos del programa</t>
  </si>
  <si>
    <t>ASIGNATURAS Y ACTIVIDADES ELECTIVAS OFRECIDAS EN EL PLAN DE ESTUDIOS MÁS ACTUAL DEL PROGRAMA</t>
  </si>
  <si>
    <t>ENTIDADES O PERSONAS QUE PARTICIPAN DE LA EVALUACIÓN Y ACTUALIZACIÓN DEL PLAN DE ESTUDIOS DEL PROGRAMA</t>
  </si>
  <si>
    <t>INTEGRANTES DEL CONSEJO DE LA UNIDAD RESPONSABLE DEL PROGRAMA O SU EQUIVALENTE</t>
  </si>
  <si>
    <t>Logros destacados, reconocimientos o premios obtenidos (indique el año entre paréntesis)</t>
  </si>
  <si>
    <t>Jerarquía académica (rol o reconocimiento dentro del sistema de jerarquización o carrera docente de la institución )</t>
  </si>
  <si>
    <t>Cursos y asignaturas dictadas (últimos 5 años)</t>
  </si>
  <si>
    <t>Tesis o trabajos de titulación (últimos 5 años)</t>
  </si>
  <si>
    <t>Nombre de los cursos o asignaturas  (separados por punto y coma, poner entre parentesis años y semestres o ciclos en que se dictaron)</t>
  </si>
  <si>
    <t>Título de las tesis o trabajos de titulación que ha dirigido (separados por punto y coma, poner entre parentesis años y semestres o ciclos en que se inscribieron)</t>
  </si>
  <si>
    <t>Institución en que lo obtuvo</t>
  </si>
  <si>
    <t>Sistema nacional de investigación (Relación de cada académico con el Sistema nacional de investigación o sistema nacional de ciencia, innovación, desarrollo y tecnología )</t>
  </si>
  <si>
    <t xml:space="preserve">N° de cursos o asignaturas en que participó </t>
  </si>
  <si>
    <t>Tiempo total destinado a la actividad de perfeccionamiento (Indicar solo una opción para la duración de la actividad)</t>
  </si>
  <si>
    <t xml:space="preserve">Identificación y características de las actividad de perfeccionamiento </t>
  </si>
  <si>
    <t>Liberación de carga lectiva u otras oblicaciones (Describa brevemente en qué consistió este apoyo)</t>
  </si>
  <si>
    <t xml:space="preserve">PERSONAL DE GESTIÓN, ADMINISTRACIÓN Y TÉCNICO DEL PROGRAMA O DE SU UNIDAD RESPONSABLE (ÚLTIMO AÑO DE REFERENCIA) </t>
  </si>
  <si>
    <r>
      <t xml:space="preserve">Porcentaje (%) de estudiantes beneficiarios </t>
    </r>
    <r>
      <rPr>
        <b/>
        <sz val="8"/>
        <color theme="1"/>
        <rFont val="Calibri"/>
        <family val="2"/>
        <scheme val="minor"/>
      </rPr>
      <t>(Respecto del total de estudiantes matriculados en el programa durante el período reportado)</t>
    </r>
  </si>
  <si>
    <t>Identificación de la Red</t>
  </si>
  <si>
    <t>Financiamiento interno (Expresar monto en USD)</t>
  </si>
  <si>
    <t>Costo total del proyecto (En USD)</t>
  </si>
  <si>
    <t>Apoyos y patrocinios de instituciones nacionales (en USD)</t>
  </si>
  <si>
    <t xml:space="preserve"> Interno  (en USD)</t>
  </si>
  <si>
    <t>Externo  (en USD)</t>
  </si>
  <si>
    <t>Monto aportado  (en USD)</t>
  </si>
  <si>
    <t xml:space="preserve">Origen del financiamiento externo </t>
  </si>
  <si>
    <t>Monto total del proyecto (en USD)</t>
  </si>
  <si>
    <t>Año de inicio</t>
  </si>
  <si>
    <t xml:space="preserve">Impacto en el logro de los objetivos del programa o en su perfil de egreso </t>
  </si>
  <si>
    <t>Monto Financiamiento interno (en USD)</t>
  </si>
  <si>
    <t>Monto Financiamiento externo (en USD)</t>
  </si>
  <si>
    <t>Recursos generados para el programa o su unidad responsable (en USD)</t>
  </si>
  <si>
    <t>En esta sección se recolecta información acerca de los artículos científicos desarrollados por los docentes e investigadores del programa en los últimos 5 años. En caso de que una publicación tenga más de un autor o autora incluir sus nombres separados por punto y coma (;).</t>
  </si>
  <si>
    <t xml:space="preserve">Línea de investigación del programa en la que se inserta </t>
  </si>
  <si>
    <t>Proyecto de investigación al que está ligado</t>
  </si>
  <si>
    <t>Tipo de publicación (artículo, review, conference paper o proceeding)</t>
  </si>
  <si>
    <t>Fecha de inicio</t>
  </si>
  <si>
    <t>Fecha de termino</t>
  </si>
  <si>
    <t>Tipo de proyecto o actividad  proyecto o actividad</t>
  </si>
  <si>
    <t>Resumen</t>
  </si>
  <si>
    <t>Contraparte</t>
  </si>
  <si>
    <t>Identificación general</t>
  </si>
  <si>
    <t>Producto(s)</t>
  </si>
  <si>
    <t xml:space="preserve">Objetivos </t>
  </si>
  <si>
    <t>Objetivos y productos</t>
  </si>
  <si>
    <t>Objetivos y líneas de investigación</t>
  </si>
  <si>
    <t>2. Líneas de investigación</t>
  </si>
  <si>
    <t>Instructivo general</t>
  </si>
  <si>
    <t>7.a. Asignaturas y actvidades lectivas</t>
  </si>
  <si>
    <t>7.b. Asignaturas optativas</t>
  </si>
  <si>
    <t>8. Actualización del Plan de estudios</t>
  </si>
  <si>
    <t xml:space="preserve">9. Consejo </t>
  </si>
  <si>
    <t xml:space="preserve">10. Académicos </t>
  </si>
  <si>
    <t xml:space="preserve">12. Jefes de práctica </t>
  </si>
  <si>
    <t>13. Perfeccionamiento académico</t>
  </si>
  <si>
    <t xml:space="preserve">14. Personal no académico </t>
  </si>
  <si>
    <t xml:space="preserve">15. Becas y ayudas internas </t>
  </si>
  <si>
    <t xml:space="preserve">16. Becas y ayudas externas </t>
  </si>
  <si>
    <t xml:space="preserve">17. Bienestar universitaro </t>
  </si>
  <si>
    <t xml:space="preserve">18. Recursos de aprendizaje </t>
  </si>
  <si>
    <t>19. Desarrollo académico</t>
  </si>
  <si>
    <t>20. Proyectos de investigación</t>
  </si>
  <si>
    <t>21. Desarrollo profesional</t>
  </si>
  <si>
    <t>22. Articulos</t>
  </si>
  <si>
    <t xml:space="preserve">23. Libros o capítulos de libro </t>
  </si>
  <si>
    <t>26. Redes</t>
  </si>
  <si>
    <t>27. Extensión</t>
  </si>
  <si>
    <t xml:space="preserve">ACTIVIDADES DE DESARROLLO PROFESIONAL CONDUCIDAS POR ACADÉMICOS DEL PROGRAMA (ÚLTIMOS 5 AÑOS) </t>
  </si>
  <si>
    <t>Linea de investigación del programa con la que se vincula</t>
  </si>
  <si>
    <t>28. Prestación de servicios</t>
  </si>
  <si>
    <t>IDENTIFICACIÓN DEL PROGRAMA</t>
  </si>
  <si>
    <t>Distribución matrícula de 1er año por género</t>
  </si>
  <si>
    <t>Esta sección recopila información sobre el seguimiento y progresión de los estudiantes del programa. Los datos de esta sección permitirán conocer la matrícula del programa en los últimos diez años y dibujarán un panorama acerca de la deserción estudiantil, ofreciendo una mirada general del fenómeno a partir de totales por causal y de las tasas de deserción de estudiantes durante sus tres primeros años de formación.</t>
  </si>
  <si>
    <t xml:space="preserve">Los datos recolectados en esta ección permiten conocer si existen brechas entre el tiempo proyectado para el cumplimiento de todas las actividades y requisitos asociados a la obtención del título y el tiempo, que en la realidad, tardan sus estudiantes para llevar adelante dichas actividades y culminarlas.  </t>
  </si>
  <si>
    <t xml:space="preserve">Cada programa deberá ingresar la información solicitada dando cuenta de cada curso o actividad curricular de su malla de estudios. </t>
  </si>
  <si>
    <t>Esta sección busca recopilar información acerca del cuerpo académico vinculado al programa. Para ello se solicita incorporar en la tabla un conjunto de datos acerca de los docentes e investigadores relacionados con él tomando como referencia el último año del que dará cuenta su autoevaluación.</t>
  </si>
  <si>
    <t>Reemplace la categoría numerada de cada columna de esta sección con los nombres que representan los distintos escalafones de la jerarquía académica de la universidad</t>
  </si>
  <si>
    <t xml:space="preserve">Esta sección recopila información acerca de los jefes de práctica del programa. En caso de que su programa no cuente con esta figura, por favor, déjela en blanco. </t>
  </si>
  <si>
    <t xml:space="preserve">Mecanismos de apoyo institucional </t>
  </si>
  <si>
    <t>Nivel al que se gestiona (marque con una cruz)</t>
  </si>
  <si>
    <t xml:space="preserve">Estudiantes a los que va dirigida la beca o ayuda </t>
  </si>
  <si>
    <t>Esta sección recoge información sobre las becas y ayudas económicas que benefician a los estudiantes del programa y que son entregadas por organismos externos a su institución, atendiendo al carácter de las organizaciones que entregan dichos beneficios, las condiciones generales de obtención de los apoyos y el impacto de estos en el cuerpo estudiantil del programa.</t>
  </si>
  <si>
    <r>
      <t>Destinatarios o benficiaros</t>
    </r>
    <r>
      <rPr>
        <b/>
        <sz val="8"/>
        <color theme="1"/>
        <rFont val="Calibri"/>
        <family val="2"/>
        <scheme val="minor"/>
      </rPr>
      <t xml:space="preserve"> (Estudiantes a los que va dirigida la beca o ayuda )</t>
    </r>
  </si>
  <si>
    <t xml:space="preserve">Para un manejo más cómodo de los datos, se han identificado los elementos relacionados con el programa con letras mayúsculas y en color azul y los referidos a la institución en su conjunto con letras mínusculas y amarillo. </t>
  </si>
  <si>
    <t xml:space="preserve">Total de beneficiarios a nivel del programa (A+B+C+D+E+F)  </t>
  </si>
  <si>
    <t xml:space="preserve">Esta sección recolecta información acerca de los recursos educativos (hemerotecas, colecciones digitales, repositorios académicos, colecciones audiovisuales, archivos documentales, recursos tecnológicos, entre otros) orientados al logro de los objetivos de formación asociados al perfil de egreso del programa y disponibles para su comunidad educativa en el último año de referencia.  </t>
  </si>
  <si>
    <t xml:space="preserve">Caracterización de la actividad </t>
  </si>
  <si>
    <t>Por ejemplo: 1er congreso de medicina veterinaria, o XV Jornadas de literatura fantástica</t>
  </si>
  <si>
    <t xml:space="preserve">Origen del financiamiento interno           </t>
  </si>
  <si>
    <t>Monto aportado (en USD)</t>
  </si>
  <si>
    <t xml:space="preserve">PROYECTOS DE INVESTIGACIÓN LIDERADOS POR DOCENTES E INVESTIGADORES DEL PROGRAMA (ÚLTIMOS 5 AÑOS) </t>
  </si>
  <si>
    <t>Mecanismos de difusión y tranferencia del proyecto y sus resusltados de cara a actores clave</t>
  </si>
  <si>
    <t>Apoyos y patrocinios de instituciones Internacionales (en USD)</t>
  </si>
  <si>
    <t>El programa y la institución</t>
  </si>
  <si>
    <t>ARTÍCULOS CIENTÍFICOS DESARROLLADOS POR LOS ACADÉMICOS DEL PROGRAMA (ÚLTIMOS 5 AÑOS)</t>
  </si>
  <si>
    <t>Línea de investigación del programa en la que se inserta</t>
  </si>
  <si>
    <t xml:space="preserve">En esta sección se recolecta información acerca de las actividades de extensión desarrolladas por el programa en los últimos 5 años. </t>
  </si>
  <si>
    <r>
      <rPr>
        <b/>
        <sz val="12"/>
        <color theme="1"/>
        <rFont val="Calibri"/>
        <family val="2"/>
        <scheme val="minor"/>
      </rPr>
      <t xml:space="preserve">Duración actividad </t>
    </r>
    <r>
      <rPr>
        <b/>
        <sz val="11"/>
        <color theme="1"/>
        <rFont val="Calibri"/>
        <family val="2"/>
        <scheme val="minor"/>
      </rPr>
      <t xml:space="preserve">                                  </t>
    </r>
    <r>
      <rPr>
        <sz val="8"/>
        <color theme="1"/>
        <rFont val="Calibri (Cuerpo)"/>
      </rPr>
      <t>Formato fecha corta</t>
    </r>
  </si>
  <si>
    <t>Entenderemos por prestación de servicios a aquellas acciones desarrolladas por un programa o su unidad responsable con el fin de vincularse con su entorno significativo, generando -en dicho intercambio- recursos económicos o ganancias monetarias que pueden reinvertirse en el programa (formación continua; centros de idiomas; asistencia jurídica para personas naturales; analisis avanzados en laboratorios; atención clínica en hospitales especializados; servicios medico-forense; diseño de paisaje o planos.</t>
  </si>
  <si>
    <t xml:space="preserve">Impacto en el público objetivo, usuarios o contrapartes </t>
  </si>
  <si>
    <t>Esta sección recopila información acerca de las actividades de desarrollo profesional conducidas por docentes e investigadores del programa, en los últimos 5 años.</t>
  </si>
  <si>
    <t>En el contexto de esta Guía se entenderá como actividades de desarrollo profesional a aquellos proyectos o actividades que involucren mecanismos de transferencia tecnológica y de conocimientos entre el mundo académico y entornos privados o públicos asociados a la industria, los servicios o el desarrollo de políticas públicas como asesorías de carácter profesional; actividades profesionales o académicas externas realizadas por invitación de instituciones de carácter profesional;  proyectos de asistencia técnica (por ejemplo, informes de impacto ambiental o informes tecnicos para organizamos del Estado); cursos para empresas o para reparticiones públicas; consultorías; asesorías; o estudios para el impulso de normas y reglamentos legales en su área de experiencia, planes de desarrollo urbano y territorial, entre otras.</t>
  </si>
  <si>
    <t>0. Resúmen estadístico</t>
  </si>
  <si>
    <t>Total vacantes</t>
  </si>
  <si>
    <t xml:space="preserve">Matrícula total </t>
  </si>
  <si>
    <t>Matrícula de primer año</t>
  </si>
  <si>
    <t>Vacantes, matrícula primer año (ingresantes) y matrícula total</t>
  </si>
  <si>
    <t xml:space="preserve">Matrícula hombres </t>
  </si>
  <si>
    <t xml:space="preserve">Matrícula mujeres </t>
  </si>
  <si>
    <t>ESTADÍSTICAS ESTUDIANTES</t>
  </si>
  <si>
    <t>RESUMEN ESTADÍSTICO</t>
  </si>
  <si>
    <t>Programa:</t>
  </si>
  <si>
    <t>Institución:</t>
  </si>
  <si>
    <t>Cohorte de ingreso</t>
  </si>
  <si>
    <t>Tasas de deserción</t>
  </si>
  <si>
    <t>Tasas de egreso y titulación</t>
  </si>
  <si>
    <t>Tasa de egreso</t>
  </si>
  <si>
    <t>Tasa de titulación</t>
  </si>
  <si>
    <t>Tasa de titulación oportuna</t>
  </si>
  <si>
    <t>NÚMERO DE ACADÉMICOS E INVESTIGADORES POR TIPO DE JORNADA</t>
  </si>
  <si>
    <t xml:space="preserve">Académicos jornada completa </t>
  </si>
  <si>
    <t>Académicos media jornada</t>
  </si>
  <si>
    <t>Académicos contratados por horas</t>
  </si>
  <si>
    <t xml:space="preserve">NÚMERO DE ACADÉMICOS POR GRADO DE JERARQUÍA </t>
  </si>
  <si>
    <t>11. Caracterización académicos</t>
  </si>
  <si>
    <t>Académicos por tipo de jornada</t>
  </si>
  <si>
    <t>CARACTERÍSTICAS ACADÉMICOS DEL PROGRAMA</t>
  </si>
  <si>
    <t>TOTAL ACADÉMICOS SEGÚN TRAMO ETARIO</t>
  </si>
  <si>
    <t xml:space="preserve">La sección- 0. Resumen estadístico- está diseñada para completarse de manera automática recogiendo los datos incluidos en las demás secciones de la Guía de antecedentes. Se solicita no ingresar en ella datos de manera manual y no modificar su estructura para evitar la desconfiguración de sus fórmulas. </t>
  </si>
  <si>
    <r>
      <t xml:space="preserve">Esta sección recopila información estadística del programa. Esta diseñada para completarse automáticamente extrayendo la información de las demás secciones de la Guía de antecedentes. </t>
    </r>
    <r>
      <rPr>
        <b/>
        <sz val="12"/>
        <color rgb="FFFF0000"/>
        <rFont val="Calibri"/>
        <family val="2"/>
        <scheme val="minor"/>
      </rPr>
      <t>No ingrese datos manualmente ni modifique la estructura o casillas de esta sección.</t>
    </r>
    <r>
      <rPr>
        <b/>
        <sz val="12"/>
        <color theme="1"/>
        <rFont val="Calibri"/>
        <family val="2"/>
        <scheme val="minor"/>
      </rPr>
      <t xml:space="preserve"> </t>
    </r>
  </si>
  <si>
    <t>Area OCDE 1</t>
  </si>
  <si>
    <t>Sub Área OCDE 1</t>
  </si>
  <si>
    <t>Sub Área OCDE 2</t>
  </si>
  <si>
    <t>Area OCDE 2</t>
  </si>
  <si>
    <t>1.1. MATEMÁTICAS</t>
  </si>
  <si>
    <t>HUMANIDADES</t>
  </si>
  <si>
    <t>1.2. COMPUTACIÓN Y CIENCIAS DE LA INFORMACIÓN</t>
  </si>
  <si>
    <t>1.3. CIENCIAS FÍSICAS</t>
  </si>
  <si>
    <t>1.4. CIENCIAS QUÍMICAS</t>
  </si>
  <si>
    <t>1.5. CIENCIAS DE LA TIERRA Y
MEDIOAMBIENTALES</t>
  </si>
  <si>
    <t>1.6. CIENCIAS BIOLÓGICAS</t>
  </si>
  <si>
    <t>1.7. OTRAS CIENCIAS NATURALES</t>
  </si>
  <si>
    <t>4.2. CIENCIAS ANIMALES Y LÁCTEOS</t>
  </si>
  <si>
    <t>5.8. PERIODISMO Y COMUNICACIONES</t>
  </si>
  <si>
    <t>6.2. IDIOMAS Y LITERATURA</t>
  </si>
  <si>
    <t>6.3. FILOSOFÍA, ÉTICA Y RELIGIÓN</t>
  </si>
  <si>
    <t>2.1. INGENIERÍA CIVIL</t>
  </si>
  <si>
    <t>2.2. INGENIERÍA ELÉCTRICA, ELECTRÓNICA E INFORMÁTICA</t>
  </si>
  <si>
    <t>2.3. INGENIERÍA MECÁNICA</t>
  </si>
  <si>
    <t>2.4. INGENIERÍA QUÍMICA</t>
  </si>
  <si>
    <t>2.5. INGENIERÍA DE LOS MATERIALES</t>
  </si>
  <si>
    <t>2.6. INGENIERÍA MÉDICA</t>
  </si>
  <si>
    <t>2.7. INGENIERÍA AMBIENTAL</t>
  </si>
  <si>
    <t>2.8. BIOTECNOLOGÍA AMBIENTAL</t>
  </si>
  <si>
    <t>2.9. BIOTECNOLOGÍA INDUSTRIAL</t>
  </si>
  <si>
    <t>2.10. NANOTECNOLOGÍA</t>
  </si>
  <si>
    <t>2.11. OTRAS INGENIERÍAS Y TECNOLOGÍAS</t>
  </si>
  <si>
    <t>3.1. MEDICINA BÁSICA</t>
  </si>
  <si>
    <t>3.2. MEDICINA CLÍNICA</t>
  </si>
  <si>
    <t>3.3. CIENCIAS DE LA SALUD</t>
  </si>
  <si>
    <t>3.4. BIOTECNOLOGÍA MÉDICA</t>
  </si>
  <si>
    <t>3.5. OTRAS CIENCIAS MÉDICAS</t>
  </si>
  <si>
    <t>4.1. AGRICULTURA, SILVICULTURA Y PESQUERÍA</t>
  </si>
  <si>
    <t>4.3. CIENCIAS VETERINARIAS</t>
  </si>
  <si>
    <t>4.4. BIOTECNOLOGÍA AGRÍCOLA</t>
  </si>
  <si>
    <t>4.5. OTRAS CIENCIAS AGRÍCOLAS</t>
  </si>
  <si>
    <t>5.1. PSICOLOGÍA</t>
  </si>
  <si>
    <t>5.2. ECONOMÍA Y NEGOCIOS</t>
  </si>
  <si>
    <t>5.5. DERECHO</t>
  </si>
  <si>
    <t>5.7. GEOGRAFÍA SOCIAL Y ECONÓMICA</t>
  </si>
  <si>
    <t>5.9. OTRAS CIENCIAS SOCIALES</t>
  </si>
  <si>
    <t>6.1. HISTORIA Y ARQUEOLOGÍA</t>
  </si>
  <si>
    <t>6.4. ARTE</t>
  </si>
  <si>
    <t>6.5. OTRAS HUMANIDADES</t>
  </si>
  <si>
    <t>ÁREA OCDE</t>
  </si>
  <si>
    <t>SUB-ÁREA OCDE</t>
  </si>
  <si>
    <t>CIENCIAS_NATURALES</t>
  </si>
  <si>
    <t>INGENIERÍA_Y_TECNOLOGÍA</t>
  </si>
  <si>
    <t>CIENCIAS_MÉDICAS_Y_DE_LA_SALUD</t>
  </si>
  <si>
    <t>CIENCIAS_AGRÍCOLAS</t>
  </si>
  <si>
    <t>CIENCIAS_SOCIALES</t>
  </si>
  <si>
    <t>5.4. SOCIOLOGÍA</t>
  </si>
  <si>
    <t>5.3. CIENCIAS DE LA EDUCACIÓN</t>
  </si>
  <si>
    <t>5.6. CIENCIAS POLÍTICAS</t>
  </si>
  <si>
    <t>Áreas y sub Áreas OCDE en las que se inscribe la carrera  (seleccione de listado desplegable)</t>
  </si>
  <si>
    <t>2026-II</t>
  </si>
  <si>
    <t xml:space="preserve">Ciclo 10 (último ciclo de referencia) </t>
  </si>
  <si>
    <t>2026-I</t>
  </si>
  <si>
    <t>Ciclo 9</t>
  </si>
  <si>
    <t>2025-II</t>
  </si>
  <si>
    <t>Ciclo 8</t>
  </si>
  <si>
    <t>2025-I</t>
  </si>
  <si>
    <t>Ciclo 7</t>
  </si>
  <si>
    <t>2024-II</t>
  </si>
  <si>
    <t>Ciclo 6</t>
  </si>
  <si>
    <t>2024-I</t>
  </si>
  <si>
    <t>Ciclo 5</t>
  </si>
  <si>
    <t>2023-II</t>
  </si>
  <si>
    <t>Ciclo 4</t>
  </si>
  <si>
    <t>2023-I</t>
  </si>
  <si>
    <t>Ciclo 3</t>
  </si>
  <si>
    <t>2022-II</t>
  </si>
  <si>
    <t>Ciclo 2</t>
  </si>
  <si>
    <t>2022-I</t>
  </si>
  <si>
    <t>Ciclo 1</t>
  </si>
  <si>
    <t>Ciclos para los cuales proporcionará información. Ciclo 10 debe ser el más reciente para el cual se entrega información, y los otros deben ser los inmediatamente anteriores. </t>
  </si>
  <si>
    <t>Semestre (Ciclo)</t>
  </si>
  <si>
    <t>Mayor de 18 años y menor o igual a 21 años</t>
  </si>
  <si>
    <t>Mayor de 21 años y menor o igual a 25 años</t>
  </si>
  <si>
    <t>Mayor de 25 años</t>
  </si>
  <si>
    <t>SEGUIMIENTO DE COHORTES POR SEMESTRE O CICLO</t>
  </si>
  <si>
    <t>Cohorte (año y ciclo) de ingreso a la carrera (i)</t>
  </si>
  <si>
    <t>Matrícula en ciclos sucesivos por cohorte de ingreso</t>
  </si>
  <si>
    <t>2017-I</t>
  </si>
  <si>
    <t>2017-II</t>
  </si>
  <si>
    <t>2018-I</t>
  </si>
  <si>
    <t>2018-II</t>
  </si>
  <si>
    <t>2019-I</t>
  </si>
  <si>
    <t>2019-II</t>
  </si>
  <si>
    <t>2020-I</t>
  </si>
  <si>
    <t>2020-II</t>
  </si>
  <si>
    <t>2021-I</t>
  </si>
  <si>
    <t>2021-II</t>
  </si>
  <si>
    <t>* Fórmulas: 
Tasa de deserción al primer año: (N° estudiantes desertados por cohorte (i) al primer año (i+2 ciclos)/ N° estudiantes ingresados por cohorte (i) * 100.
Tasa de deserción al segundo año: (N° estudiantes desertados por cohorte (i) al primer año (i+4 ciclos)/ N° estudiantes ingresados por cohorte (i) * 100.
Tasa de deserción al tercer año: (N° estudiantes desertados por cohorte (i) al tercer año (i+6 ciclos)/ N° estudiantes ingresados por cohorte (i)) * 100.</t>
  </si>
  <si>
    <t>EGRESADOS POR COHORTE POR SEMESTRE O CICLO</t>
  </si>
  <si>
    <t>Egresados en los últimos 10 ciclos</t>
  </si>
  <si>
    <t>TITULADOS POR COHORTE POR SEMESTRE O CICLO</t>
  </si>
  <si>
    <t>Esta sección recoge información sobre la titulación de los estudiantes del programa y permite conocer el tiempo que los estudiantes del se tardan en completar el conjunto de actividades de graduación asociadas a su plan de estudios y obtener su título.</t>
  </si>
  <si>
    <t>Titulados en los últimos 10 ciclos</t>
  </si>
  <si>
    <t>Porcentaje de estudiantes del programa que se titula por cohorte.</t>
  </si>
  <si>
    <r>
      <t xml:space="preserve">* Fórmulas: 
Tasa de Titulación total: ( </t>
    </r>
    <r>
      <rPr>
        <sz val="11"/>
        <color theme="1"/>
        <rFont val="Calibri"/>
        <family val="2"/>
      </rPr>
      <t>∑</t>
    </r>
    <r>
      <rPr>
        <sz val="11"/>
        <color theme="1"/>
        <rFont val="Calibri"/>
        <family val="2"/>
        <scheme val="minor"/>
      </rPr>
      <t>estudiantes titulados por cohorte (i) / N° estudiantes ingresados por cohorte (i)) * 100.
Tasa de Titulación oportuna: (N° estudiantes titulados por cohorte en el tiempo teórico (i+10 ciclos) / N° estudiantes ingresados por cohorte (i)) * 100.</t>
    </r>
  </si>
  <si>
    <t>Ciclo-semestre</t>
  </si>
  <si>
    <t>4. Cohortes por ciclo-semestre</t>
  </si>
  <si>
    <t>3. Admisión por ciclo-semestre</t>
  </si>
  <si>
    <t>5. Egresados por ciclo-semestre</t>
  </si>
  <si>
    <t>6. Titulados por ciclo-semestre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</si>
</sst>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XDR&quot;* #,##0_-;\-&quot;XDR&quot;* #,##0_-;_-&quot;XDR&quot;* &quot;-&quot;_-;_-@_-"/>
    <numFmt numFmtId="165" formatCode="_-&quot;XDR&quot;* #,##0.00_-;\-&quot;XDR&quot;* #,##0.00_-;_-&quot;XDR&quot;* &quot;-&quot;??_-;_-@_-"/>
    <numFmt numFmtId="166" formatCode="_ [$$-340A]* #,##0.00_ ;_ [$$-340A]* \-#,##0.00_ ;_ [$$-340A]* &quot;-&quot;??_ ;_ @_ "/>
  </numFmts>
  <fonts count="29">
    <font>
      <sz val="11"/>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1"/>
      <color theme="1"/>
      <name val="Calibri"/>
      <family val="2"/>
      <scheme val="minor"/>
    </font>
    <font>
      <sz val="12"/>
      <color theme="1"/>
      <name val="Calibri"/>
      <family val="2"/>
      <scheme val="minor"/>
    </font>
    <font>
      <sz val="8"/>
      <name val="Calibri"/>
      <family val="2"/>
      <scheme val="minor"/>
    </font>
    <font>
      <b/>
      <i/>
      <sz val="12"/>
      <color theme="1"/>
      <name val="Calibri"/>
      <family val="2"/>
      <scheme val="minor"/>
    </font>
    <font>
      <sz val="11"/>
      <color theme="1"/>
      <name val="Calibri"/>
      <family val="2"/>
    </font>
    <font>
      <u/>
      <sz val="11"/>
      <color theme="10"/>
      <name val="Calibri"/>
      <family val="2"/>
      <scheme val="minor"/>
    </font>
    <font>
      <b/>
      <sz val="16"/>
      <color theme="1"/>
      <name val="Calibri"/>
      <family val="2"/>
      <scheme val="minor"/>
    </font>
    <font>
      <u/>
      <sz val="12"/>
      <color theme="10"/>
      <name val="Calibri"/>
      <family val="2"/>
      <scheme val="minor"/>
    </font>
    <font>
      <b/>
      <sz val="11"/>
      <name val="Calibri"/>
      <family val="2"/>
      <scheme val="minor"/>
    </font>
    <font>
      <b/>
      <sz val="12"/>
      <color rgb="FF000000"/>
      <name val="Calibri"/>
      <family val="2"/>
      <scheme val="minor"/>
    </font>
    <font>
      <b/>
      <sz val="8"/>
      <color theme="1"/>
      <name val="Calibri"/>
      <family val="2"/>
      <scheme val="minor"/>
    </font>
    <font>
      <sz val="8"/>
      <color theme="1"/>
      <name val="Calibri"/>
      <family val="2"/>
      <scheme val="minor"/>
    </font>
    <font>
      <sz val="12"/>
      <color rgb="FF000000"/>
      <name val="Calibri"/>
      <family val="2"/>
      <scheme val="minor"/>
    </font>
    <font>
      <sz val="8"/>
      <color theme="1"/>
      <name val="Calibri (Cuerpo)"/>
    </font>
    <font>
      <sz val="12"/>
      <color theme="1"/>
      <name val="Calibri"/>
      <family val="2"/>
    </font>
    <font>
      <sz val="10"/>
      <color theme="1"/>
      <name val="Calibri"/>
      <family val="2"/>
      <scheme val="minor"/>
    </font>
    <font>
      <b/>
      <sz val="12"/>
      <name val="Calibri"/>
      <family val="2"/>
      <scheme val="minor"/>
    </font>
    <font>
      <sz val="12"/>
      <color theme="8" tint="-0.249977111117893"/>
      <name val="Calibri"/>
      <family val="2"/>
      <scheme val="minor"/>
    </font>
    <font>
      <u/>
      <sz val="12"/>
      <color theme="8" tint="-0.249977111117893"/>
      <name val="Calibri"/>
      <family val="2"/>
      <scheme val="minor"/>
    </font>
    <font>
      <sz val="11"/>
      <color theme="8" tint="-0.249977111117893"/>
      <name val="Calibri"/>
      <family val="2"/>
      <scheme val="minor"/>
    </font>
    <font>
      <b/>
      <sz val="12"/>
      <color theme="8" tint="-0.249977111117893"/>
      <name val="Calibri"/>
      <family val="2"/>
      <scheme val="minor"/>
    </font>
    <font>
      <u/>
      <sz val="11"/>
      <color theme="8" tint="-0.249977111117893"/>
      <name val="Calibri"/>
      <family val="2"/>
      <scheme val="minor"/>
    </font>
    <font>
      <b/>
      <sz val="12"/>
      <color rgb="FFFF0000"/>
      <name val="Calibri"/>
      <family val="2"/>
      <scheme val="minor"/>
    </font>
    <font>
      <b/>
      <sz val="9"/>
      <color indexed="81"/>
      <name val="Tahoma"/>
      <family val="2"/>
    </font>
    <font>
      <sz val="9"/>
      <color indexed="81"/>
      <name val="Tahoma"/>
      <family val="2"/>
    </font>
  </fonts>
  <fills count="28">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AFA7DD"/>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F4A4E5"/>
        <bgColor indexed="64"/>
      </patternFill>
    </fill>
    <fill>
      <patternFill patternType="solid">
        <fgColor rgb="FFFBD1F3"/>
        <bgColor indexed="64"/>
      </patternFill>
    </fill>
    <fill>
      <patternFill patternType="solid">
        <fgColor rgb="FFE480DF"/>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BCB5E3"/>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7"/>
        <bgColor indexed="64"/>
      </patternFill>
    </fill>
    <fill>
      <patternFill patternType="solid">
        <fgColor theme="2"/>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style="thin">
        <color indexed="64"/>
      </right>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s>
  <cellStyleXfs count="5">
    <xf numFmtId="0" fontId="0" fillId="0" borderId="0"/>
    <xf numFmtId="9"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9" fillId="0" borderId="0" applyNumberFormat="0" applyFill="0" applyBorder="0" applyAlignment="0" applyProtection="0"/>
  </cellStyleXfs>
  <cellXfs count="798">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1" xfId="0" applyBorder="1" applyAlignment="1">
      <alignment horizontal="center"/>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1" fontId="0" fillId="0" borderId="1" xfId="0" applyNumberFormat="1" applyBorder="1" applyAlignment="1">
      <alignment horizontal="center"/>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0" fillId="7" borderId="1" xfId="0" applyFill="1" applyBorder="1" applyAlignment="1">
      <alignment horizontal="center" vertical="center" wrapText="1"/>
    </xf>
    <xf numFmtId="0" fontId="0" fillId="7" borderId="1" xfId="0" applyFill="1" applyBorder="1" applyAlignment="1">
      <alignment horizontal="center"/>
    </xf>
    <xf numFmtId="9" fontId="0" fillId="0" borderId="0" xfId="1" applyFont="1" applyAlignment="1">
      <alignment horizontal="center"/>
    </xf>
    <xf numFmtId="0" fontId="0" fillId="0" borderId="0" xfId="0" applyAlignment="1">
      <alignment vertical="center" wrapText="1"/>
    </xf>
    <xf numFmtId="0" fontId="3" fillId="0" borderId="0" xfId="0" applyFont="1" applyAlignment="1">
      <alignment horizontal="center" vertical="center"/>
    </xf>
    <xf numFmtId="0" fontId="0" fillId="0" borderId="0" xfId="0" applyAlignment="1">
      <alignment horizontal="left" vertical="center" wrapText="1"/>
    </xf>
    <xf numFmtId="0" fontId="0" fillId="0" borderId="1" xfId="0" applyBorder="1"/>
    <xf numFmtId="0" fontId="2" fillId="0" borderId="0" xfId="0" applyFont="1"/>
    <xf numFmtId="1" fontId="0" fillId="0" borderId="1" xfId="0" applyNumberFormat="1" applyBorder="1"/>
    <xf numFmtId="9" fontId="0" fillId="0" borderId="1" xfId="0" applyNumberFormat="1" applyBorder="1"/>
    <xf numFmtId="164" fontId="0" fillId="0" borderId="1" xfId="3" applyFont="1" applyBorder="1"/>
    <xf numFmtId="166" fontId="0" fillId="0" borderId="1" xfId="3" applyNumberFormat="1" applyFont="1" applyBorder="1"/>
    <xf numFmtId="14" fontId="0" fillId="0" borderId="1" xfId="0" applyNumberFormat="1" applyBorder="1"/>
    <xf numFmtId="0" fontId="2" fillId="11" borderId="12" xfId="0" applyFont="1" applyFill="1" applyBorder="1"/>
    <xf numFmtId="0" fontId="0" fillId="11" borderId="12" xfId="0" applyFill="1" applyBorder="1"/>
    <xf numFmtId="0" fontId="10" fillId="11" borderId="12" xfId="0" applyFont="1" applyFill="1" applyBorder="1"/>
    <xf numFmtId="9" fontId="0" fillId="0" borderId="1" xfId="1" applyFont="1" applyBorder="1" applyAlignment="1" applyProtection="1">
      <alignment horizontal="center"/>
      <protection hidden="1"/>
    </xf>
    <xf numFmtId="9" fontId="0" fillId="0" borderId="1" xfId="1" applyFont="1" applyBorder="1" applyAlignment="1">
      <alignment horizontal="center"/>
    </xf>
    <xf numFmtId="0" fontId="0" fillId="11" borderId="0" xfId="0" applyFill="1"/>
    <xf numFmtId="0" fontId="2" fillId="14" borderId="1"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5" borderId="1" xfId="0" applyFill="1" applyBorder="1" applyAlignment="1">
      <alignment horizontal="center" vertical="center"/>
    </xf>
    <xf numFmtId="0" fontId="0" fillId="0" borderId="1" xfId="0" applyBorder="1" applyAlignment="1">
      <alignment horizontal="center" vertical="center"/>
    </xf>
    <xf numFmtId="0" fontId="2" fillId="5" borderId="10" xfId="0" applyFont="1" applyFill="1" applyBorder="1" applyAlignment="1">
      <alignment horizontal="center" vertical="center" wrapText="1"/>
    </xf>
    <xf numFmtId="1" fontId="0" fillId="0" borderId="26" xfId="0" applyNumberFormat="1" applyBorder="1" applyAlignment="1">
      <alignment horizontal="center"/>
    </xf>
    <xf numFmtId="1" fontId="0" fillId="0" borderId="27" xfId="0" applyNumberFormat="1" applyBorder="1" applyAlignment="1">
      <alignment horizontal="center"/>
    </xf>
    <xf numFmtId="1" fontId="0" fillId="0" borderId="28" xfId="0" applyNumberFormat="1" applyBorder="1" applyAlignment="1">
      <alignment horizontal="center"/>
    </xf>
    <xf numFmtId="1" fontId="0" fillId="0" borderId="29" xfId="0" applyNumberFormat="1" applyBorder="1" applyAlignment="1">
      <alignment horizontal="center"/>
    </xf>
    <xf numFmtId="1" fontId="0" fillId="0" borderId="30" xfId="0" applyNumberFormat="1" applyBorder="1" applyAlignment="1">
      <alignment horizontal="center"/>
    </xf>
    <xf numFmtId="0" fontId="0" fillId="0" borderId="3" xfId="0" applyBorder="1" applyAlignment="1">
      <alignment horizontal="center"/>
    </xf>
    <xf numFmtId="0" fontId="0" fillId="0" borderId="51" xfId="0" applyBorder="1" applyAlignment="1">
      <alignment horizontal="center"/>
    </xf>
    <xf numFmtId="0" fontId="0" fillId="0" borderId="52" xfId="0" applyBorder="1" applyAlignment="1">
      <alignment horizontal="center"/>
    </xf>
    <xf numFmtId="1" fontId="0" fillId="0" borderId="0" xfId="0" applyNumberFormat="1" applyAlignment="1">
      <alignment horizontal="center"/>
    </xf>
    <xf numFmtId="0" fontId="2" fillId="0" borderId="0" xfId="0" applyFont="1" applyAlignment="1">
      <alignment horizontal="center" vertical="center" wrapText="1"/>
    </xf>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27" xfId="0" applyBorder="1" applyAlignment="1">
      <alignment horizontal="center" vertical="center"/>
    </xf>
    <xf numFmtId="0" fontId="0" fillId="0" borderId="30" xfId="0" applyBorder="1" applyAlignment="1">
      <alignment horizontal="center" vertical="center"/>
    </xf>
    <xf numFmtId="0" fontId="0" fillId="0" borderId="26" xfId="0" applyBorder="1" applyAlignment="1">
      <alignment horizontal="center"/>
    </xf>
    <xf numFmtId="0" fontId="0" fillId="0" borderId="28" xfId="0" applyBorder="1" applyAlignment="1">
      <alignment horizontal="center"/>
    </xf>
    <xf numFmtId="0" fontId="0" fillId="0" borderId="27"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0" xfId="0" applyAlignment="1">
      <alignment horizontal="left"/>
    </xf>
    <xf numFmtId="0" fontId="0" fillId="0" borderId="2" xfId="0" applyBorder="1" applyAlignment="1">
      <alignment horizontal="center"/>
    </xf>
    <xf numFmtId="0" fontId="0" fillId="0" borderId="47" xfId="0" applyBorder="1" applyAlignment="1">
      <alignment horizontal="center"/>
    </xf>
    <xf numFmtId="0" fontId="2" fillId="3" borderId="26" xfId="0" applyFont="1" applyFill="1" applyBorder="1" applyAlignment="1">
      <alignment horizontal="center" vertical="center" wrapText="1"/>
    </xf>
    <xf numFmtId="1" fontId="0" fillId="0" borderId="29" xfId="0" applyNumberFormat="1" applyBorder="1"/>
    <xf numFmtId="9" fontId="0" fillId="0" borderId="29" xfId="0" applyNumberFormat="1" applyBorder="1"/>
    <xf numFmtId="0" fontId="3" fillId="11" borderId="0" xfId="0" applyFont="1" applyFill="1" applyAlignment="1">
      <alignment vertical="center"/>
    </xf>
    <xf numFmtId="0" fontId="2" fillId="11" borderId="0" xfId="0" applyFont="1" applyFill="1" applyAlignment="1">
      <alignment vertical="center" wrapText="1"/>
    </xf>
    <xf numFmtId="0" fontId="0" fillId="0" borderId="20" xfId="0" applyBorder="1" applyAlignment="1">
      <alignment horizontal="center"/>
    </xf>
    <xf numFmtId="0" fontId="3" fillId="11" borderId="41" xfId="0" applyFont="1" applyFill="1" applyBorder="1"/>
    <xf numFmtId="0" fontId="0" fillId="0" borderId="24" xfId="0" applyBorder="1" applyAlignment="1">
      <alignment horizontal="center"/>
    </xf>
    <xf numFmtId="0" fontId="0" fillId="0" borderId="11" xfId="0" applyBorder="1" applyAlignment="1">
      <alignment horizontal="center"/>
    </xf>
    <xf numFmtId="0" fontId="0" fillId="0" borderId="11" xfId="0" applyBorder="1"/>
    <xf numFmtId="1" fontId="0" fillId="0" borderId="11" xfId="0" applyNumberFormat="1" applyBorder="1"/>
    <xf numFmtId="9" fontId="0" fillId="0" borderId="11" xfId="0" applyNumberFormat="1" applyBorder="1"/>
    <xf numFmtId="0" fontId="0" fillId="0" borderId="25" xfId="0" applyBorder="1"/>
    <xf numFmtId="0" fontId="13" fillId="0" borderId="0" xfId="0" applyFont="1" applyAlignment="1">
      <alignment vertical="center"/>
    </xf>
    <xf numFmtId="0" fontId="2" fillId="0" borderId="11" xfId="0" applyFont="1" applyBorder="1" applyAlignment="1">
      <alignment horizontal="center" vertical="center" wrapText="1"/>
    </xf>
    <xf numFmtId="0" fontId="0" fillId="0" borderId="3" xfId="0" applyBorder="1"/>
    <xf numFmtId="0" fontId="0" fillId="0" borderId="17" xfId="0" applyBorder="1" applyAlignment="1">
      <alignment horizontal="center"/>
    </xf>
    <xf numFmtId="0" fontId="0" fillId="0" borderId="2" xfId="0" applyBorder="1"/>
    <xf numFmtId="0" fontId="0" fillId="0" borderId="47" xfId="0" applyBorder="1"/>
    <xf numFmtId="0" fontId="2" fillId="2" borderId="26" xfId="0" applyFont="1" applyFill="1" applyBorder="1" applyAlignment="1">
      <alignment horizontal="center" vertical="center" wrapText="1"/>
    </xf>
    <xf numFmtId="0" fontId="2" fillId="0" borderId="24" xfId="0" applyFont="1" applyBorder="1" applyAlignment="1">
      <alignment horizontal="center" vertical="center" wrapText="1"/>
    </xf>
    <xf numFmtId="9" fontId="0" fillId="0" borderId="27" xfId="0" applyNumberFormat="1" applyBorder="1"/>
    <xf numFmtId="9" fontId="0" fillId="0" borderId="30" xfId="0" applyNumberFormat="1" applyBorder="1"/>
    <xf numFmtId="0" fontId="0" fillId="0" borderId="51" xfId="0" applyBorder="1"/>
    <xf numFmtId="0" fontId="0" fillId="0" borderId="52" xfId="0" applyBorder="1"/>
    <xf numFmtId="0" fontId="0" fillId="0" borderId="74" xfId="0" applyBorder="1"/>
    <xf numFmtId="0" fontId="0" fillId="0" borderId="58" xfId="0" applyBorder="1"/>
    <xf numFmtId="0" fontId="0" fillId="0" borderId="43" xfId="0" applyBorder="1"/>
    <xf numFmtId="1" fontId="0" fillId="0" borderId="26" xfId="0" applyNumberFormat="1" applyBorder="1"/>
    <xf numFmtId="1" fontId="0" fillId="0" borderId="28" xfId="0" applyNumberFormat="1" applyBorder="1"/>
    <xf numFmtId="0" fontId="2" fillId="0" borderId="1" xfId="0" applyFont="1" applyBorder="1" applyAlignment="1">
      <alignment vertical="center" wrapText="1"/>
    </xf>
    <xf numFmtId="164" fontId="0" fillId="0" borderId="1" xfId="3" applyFont="1" applyFill="1" applyBorder="1"/>
    <xf numFmtId="0" fontId="2" fillId="3" borderId="20" xfId="0" applyFont="1" applyFill="1" applyBorder="1" applyAlignment="1">
      <alignment horizontal="center" vertical="center" wrapText="1"/>
    </xf>
    <xf numFmtId="0" fontId="2" fillId="4" borderId="26" xfId="0" applyFont="1" applyFill="1" applyBorder="1" applyAlignment="1">
      <alignment horizontal="center" vertical="center" wrapText="1"/>
    </xf>
    <xf numFmtId="14" fontId="0" fillId="0" borderId="29" xfId="0" applyNumberFormat="1" applyBorder="1"/>
    <xf numFmtId="164" fontId="0" fillId="0" borderId="29" xfId="3" applyFont="1" applyBorder="1"/>
    <xf numFmtId="166" fontId="0" fillId="0" borderId="2" xfId="3" applyNumberFormat="1" applyFont="1" applyBorder="1"/>
    <xf numFmtId="166" fontId="0" fillId="0" borderId="47" xfId="3" applyNumberFormat="1" applyFont="1" applyBorder="1"/>
    <xf numFmtId="0" fontId="3" fillId="11" borderId="0" xfId="0" applyFont="1" applyFill="1"/>
    <xf numFmtId="0" fontId="13" fillId="11" borderId="0" xfId="0" applyFont="1" applyFill="1" applyAlignment="1">
      <alignment vertical="center"/>
    </xf>
    <xf numFmtId="164" fontId="0" fillId="0" borderId="11" xfId="3" applyFont="1" applyBorder="1"/>
    <xf numFmtId="166" fontId="0" fillId="0" borderId="11" xfId="3" applyNumberFormat="1" applyFont="1" applyBorder="1"/>
    <xf numFmtId="0" fontId="0" fillId="0" borderId="24" xfId="0" applyBorder="1"/>
    <xf numFmtId="0" fontId="0" fillId="0" borderId="17" xfId="0" applyBorder="1"/>
    <xf numFmtId="164" fontId="0" fillId="0" borderId="20" xfId="3" applyFont="1" applyBorder="1"/>
    <xf numFmtId="164" fontId="0" fillId="0" borderId="3" xfId="3" applyFont="1" applyBorder="1"/>
    <xf numFmtId="0" fontId="0" fillId="0" borderId="63" xfId="0" applyBorder="1"/>
    <xf numFmtId="0" fontId="2" fillId="4" borderId="28" xfId="0"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4" borderId="30" xfId="0" applyFont="1" applyFill="1" applyBorder="1" applyAlignment="1">
      <alignment horizontal="center" vertical="center" wrapText="1"/>
    </xf>
    <xf numFmtId="0" fontId="2" fillId="3" borderId="75" xfId="0" applyFont="1" applyFill="1" applyBorder="1" applyAlignment="1">
      <alignment horizontal="center" vertical="center" wrapText="1"/>
    </xf>
    <xf numFmtId="0" fontId="2" fillId="3" borderId="36" xfId="0" applyFont="1" applyFill="1" applyBorder="1" applyAlignment="1">
      <alignment horizontal="center" vertical="center" wrapText="1"/>
    </xf>
    <xf numFmtId="164" fontId="2" fillId="2" borderId="76" xfId="3" applyFont="1" applyFill="1" applyBorder="1" applyAlignment="1">
      <alignment horizontal="center" vertical="center" wrapText="1"/>
    </xf>
    <xf numFmtId="164" fontId="2" fillId="2" borderId="70" xfId="3" applyFont="1" applyFill="1" applyBorder="1" applyAlignment="1">
      <alignment horizontal="center" vertical="center" wrapText="1"/>
    </xf>
    <xf numFmtId="0" fontId="2" fillId="2" borderId="70" xfId="0" applyFont="1" applyFill="1" applyBorder="1" applyAlignment="1">
      <alignment horizontal="center" vertical="center" wrapText="1"/>
    </xf>
    <xf numFmtId="164" fontId="0" fillId="0" borderId="2" xfId="3" applyFont="1" applyBorder="1"/>
    <xf numFmtId="0" fontId="5" fillId="0" borderId="0" xfId="0" applyFont="1" applyAlignment="1">
      <alignment horizontal="left"/>
    </xf>
    <xf numFmtId="1" fontId="0" fillId="0" borderId="1" xfId="0" applyNumberFormat="1" applyBorder="1" applyAlignment="1">
      <alignment horizontal="center" vertical="center"/>
    </xf>
    <xf numFmtId="1" fontId="0" fillId="0" borderId="29" xfId="0" applyNumberFormat="1" applyBorder="1" applyAlignment="1">
      <alignment horizontal="center" vertical="center"/>
    </xf>
    <xf numFmtId="0" fontId="0" fillId="0" borderId="58" xfId="0" applyBorder="1" applyAlignment="1">
      <alignment horizontal="center"/>
    </xf>
    <xf numFmtId="0" fontId="2" fillId="6" borderId="1"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0" fillId="11" borderId="0" xfId="0" applyFill="1" applyAlignment="1">
      <alignment vertical="center" wrapText="1"/>
    </xf>
    <xf numFmtId="0" fontId="0" fillId="11" borderId="0" xfId="0" applyFill="1" applyAlignment="1">
      <alignment wrapText="1"/>
    </xf>
    <xf numFmtId="0" fontId="0" fillId="11" borderId="0" xfId="0" applyFill="1" applyAlignment="1">
      <alignment horizontal="center"/>
    </xf>
    <xf numFmtId="0" fontId="2" fillId="2" borderId="17" xfId="0" applyFont="1" applyFill="1" applyBorder="1" applyAlignment="1">
      <alignment horizontal="center" vertical="center" wrapText="1"/>
    </xf>
    <xf numFmtId="0" fontId="0" fillId="11" borderId="0" xfId="0" applyFill="1" applyAlignment="1">
      <alignment horizontal="center" vertical="center"/>
    </xf>
    <xf numFmtId="0" fontId="0" fillId="11" borderId="0" xfId="0" applyFill="1" applyAlignment="1">
      <alignment vertical="top"/>
    </xf>
    <xf numFmtId="0" fontId="0" fillId="0" borderId="0" xfId="0" applyAlignment="1">
      <alignment vertical="top"/>
    </xf>
    <xf numFmtId="0" fontId="15" fillId="3" borderId="11" xfId="0" applyFont="1" applyFill="1" applyBorder="1" applyAlignment="1">
      <alignment horizontal="center" vertical="center" wrapText="1"/>
    </xf>
    <xf numFmtId="0" fontId="15" fillId="4" borderId="2" xfId="0" applyFont="1" applyFill="1" applyBorder="1" applyAlignment="1">
      <alignment horizontal="center" vertical="center" wrapText="1"/>
    </xf>
    <xf numFmtId="9" fontId="0" fillId="11" borderId="0" xfId="1" applyFont="1" applyFill="1" applyAlignment="1">
      <alignment horizontal="center"/>
    </xf>
    <xf numFmtId="0" fontId="0" fillId="11" borderId="0" xfId="0" applyFill="1" applyAlignment="1">
      <alignment vertical="center"/>
    </xf>
    <xf numFmtId="0" fontId="0" fillId="11" borderId="0" xfId="0" applyFill="1" applyAlignment="1">
      <alignment horizontal="center" vertical="center" wrapText="1"/>
    </xf>
    <xf numFmtId="0" fontId="2" fillId="11" borderId="0" xfId="0" applyFont="1" applyFill="1"/>
    <xf numFmtId="0" fontId="0" fillId="11" borderId="0" xfId="0" applyFill="1" applyAlignment="1">
      <alignment horizontal="left"/>
    </xf>
    <xf numFmtId="0" fontId="0" fillId="5" borderId="53" xfId="0" applyFill="1" applyBorder="1" applyAlignment="1">
      <alignment horizontal="center" vertical="center"/>
    </xf>
    <xf numFmtId="0" fontId="2" fillId="5" borderId="54" xfId="0" applyFont="1" applyFill="1" applyBorder="1" applyAlignment="1">
      <alignment horizontal="center" vertical="center" wrapText="1"/>
    </xf>
    <xf numFmtId="0" fontId="2" fillId="14" borderId="55" xfId="0" applyFont="1" applyFill="1" applyBorder="1" applyAlignment="1">
      <alignment horizontal="center" vertical="center" wrapText="1"/>
    </xf>
    <xf numFmtId="0" fontId="0" fillId="0" borderId="63" xfId="0" applyBorder="1" applyAlignment="1">
      <alignment horizontal="center"/>
    </xf>
    <xf numFmtId="0" fontId="2" fillId="25" borderId="1" xfId="0" applyFont="1" applyFill="1" applyBorder="1" applyAlignment="1">
      <alignment horizontal="center" vertical="center" wrapText="1"/>
    </xf>
    <xf numFmtId="0" fontId="3" fillId="11" borderId="0" xfId="0" applyFont="1" applyFill="1" applyAlignment="1">
      <alignment vertical="top"/>
    </xf>
    <xf numFmtId="0" fontId="2" fillId="8" borderId="10" xfId="0" applyFont="1" applyFill="1" applyBorder="1" applyAlignment="1">
      <alignment horizontal="center" wrapText="1"/>
    </xf>
    <xf numFmtId="0" fontId="2" fillId="6" borderId="10" xfId="0" applyFont="1" applyFill="1" applyBorder="1" applyAlignment="1">
      <alignment horizontal="center" wrapText="1"/>
    </xf>
    <xf numFmtId="0" fontId="2" fillId="3" borderId="10" xfId="0" applyFont="1" applyFill="1" applyBorder="1" applyAlignment="1">
      <alignment horizontal="center" wrapText="1"/>
    </xf>
    <xf numFmtId="0" fontId="0" fillId="0" borderId="26" xfId="0" applyBorder="1" applyAlignment="1">
      <alignment horizontal="center"/>
    </xf>
    <xf numFmtId="0" fontId="0" fillId="0" borderId="1" xfId="0" applyBorder="1" applyAlignment="1">
      <alignment horizontal="center"/>
    </xf>
    <xf numFmtId="0" fontId="0" fillId="0" borderId="58" xfId="0" applyBorder="1" applyAlignment="1">
      <alignment horizontal="center"/>
    </xf>
    <xf numFmtId="0" fontId="2" fillId="15" borderId="54" xfId="0" applyFont="1" applyFill="1" applyBorder="1" applyAlignment="1">
      <alignment horizontal="center" vertical="center" wrapText="1"/>
    </xf>
    <xf numFmtId="0" fontId="2" fillId="15" borderId="53" xfId="0" applyFont="1" applyFill="1" applyBorder="1" applyAlignment="1">
      <alignment horizontal="center" vertical="center" wrapText="1"/>
    </xf>
    <xf numFmtId="0" fontId="0" fillId="0" borderId="4" xfId="0" applyBorder="1"/>
    <xf numFmtId="0" fontId="0" fillId="0" borderId="48" xfId="0" applyBorder="1"/>
    <xf numFmtId="0" fontId="2" fillId="4" borderId="1" xfId="0" applyFont="1" applyFill="1" applyBorder="1" applyAlignment="1">
      <alignment horizontal="center" vertical="center"/>
    </xf>
    <xf numFmtId="166" fontId="0" fillId="0" borderId="27" xfId="2" applyNumberFormat="1" applyFont="1" applyBorder="1"/>
    <xf numFmtId="0" fontId="0" fillId="11" borderId="28" xfId="0" applyFill="1" applyBorder="1" applyAlignment="1">
      <alignment horizontal="center"/>
    </xf>
    <xf numFmtId="0" fontId="0" fillId="11" borderId="29" xfId="0" applyFill="1" applyBorder="1"/>
    <xf numFmtId="0" fontId="15"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3" borderId="14" xfId="0" applyFont="1" applyFill="1" applyBorder="1" applyAlignment="1">
      <alignment horizontal="center" wrapText="1"/>
    </xf>
    <xf numFmtId="0" fontId="0" fillId="11" borderId="47" xfId="0" applyFill="1" applyBorder="1"/>
    <xf numFmtId="166" fontId="0" fillId="0" borderId="30" xfId="2" applyNumberFormat="1" applyFont="1" applyBorder="1"/>
    <xf numFmtId="0" fontId="0" fillId="0" borderId="0" xfId="0" applyAlignment="1">
      <alignment wrapText="1"/>
    </xf>
    <xf numFmtId="0" fontId="0" fillId="0" borderId="13" xfId="0" applyBorder="1"/>
    <xf numFmtId="0" fontId="2" fillId="11" borderId="0" xfId="0" applyFont="1" applyFill="1" applyAlignment="1">
      <alignment wrapText="1"/>
    </xf>
    <xf numFmtId="0" fontId="0" fillId="0" borderId="44" xfId="0" applyBorder="1"/>
    <xf numFmtId="0" fontId="0" fillId="0" borderId="49" xfId="0" applyBorder="1"/>
    <xf numFmtId="164" fontId="0" fillId="0" borderId="27" xfId="3" applyFont="1" applyBorder="1"/>
    <xf numFmtId="164" fontId="0" fillId="0" borderId="30" xfId="3" applyFont="1" applyBorder="1"/>
    <xf numFmtId="14" fontId="0" fillId="0" borderId="26" xfId="0" applyNumberFormat="1" applyBorder="1"/>
    <xf numFmtId="14" fontId="0" fillId="0" borderId="28" xfId="0" applyNumberFormat="1" applyBorder="1"/>
    <xf numFmtId="14" fontId="0" fillId="0" borderId="27" xfId="0" applyNumberFormat="1" applyBorder="1"/>
    <xf numFmtId="14" fontId="0" fillId="0" borderId="30" xfId="0" applyNumberFormat="1" applyBorder="1"/>
    <xf numFmtId="0" fontId="0" fillId="0" borderId="34" xfId="0" applyBorder="1"/>
    <xf numFmtId="0" fontId="0" fillId="0" borderId="26" xfId="0" applyBorder="1" applyAlignment="1">
      <alignment horizontal="center"/>
    </xf>
    <xf numFmtId="0" fontId="0" fillId="0" borderId="1" xfId="0" applyBorder="1" applyAlignment="1">
      <alignment horizontal="center"/>
    </xf>
    <xf numFmtId="0" fontId="2"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11" borderId="0" xfId="0" applyFill="1" applyAlignment="1">
      <alignment horizontal="center" vertical="center"/>
    </xf>
    <xf numFmtId="0" fontId="2" fillId="2" borderId="10" xfId="0" applyFont="1" applyFill="1" applyBorder="1" applyAlignment="1">
      <alignment horizontal="center" vertical="center" wrapText="1"/>
    </xf>
    <xf numFmtId="0" fontId="0" fillId="4" borderId="31" xfId="0" applyFill="1" applyBorder="1" applyAlignment="1">
      <alignment horizontal="center" vertical="center"/>
    </xf>
    <xf numFmtId="0" fontId="2" fillId="4" borderId="10" xfId="0" applyFont="1" applyFill="1" applyBorder="1" applyAlignment="1">
      <alignment horizontal="center" vertical="center"/>
    </xf>
    <xf numFmtId="0" fontId="2" fillId="4" borderId="10" xfId="0" applyFont="1" applyFill="1" applyBorder="1" applyAlignment="1">
      <alignment horizontal="center" vertical="center" wrapText="1"/>
    </xf>
    <xf numFmtId="0" fontId="2" fillId="15" borderId="54" xfId="0" applyFont="1" applyFill="1" applyBorder="1" applyAlignment="1">
      <alignment horizontal="center" vertical="center" wrapText="1"/>
    </xf>
    <xf numFmtId="0" fontId="2" fillId="14" borderId="50" xfId="0" applyFont="1" applyFill="1" applyBorder="1" applyAlignment="1">
      <alignment horizontal="center" vertical="center" wrapText="1"/>
    </xf>
    <xf numFmtId="0" fontId="2" fillId="15" borderId="53"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4" borderId="26" xfId="0" applyFont="1" applyFill="1" applyBorder="1" applyAlignment="1">
      <alignment horizontal="center" vertical="center" wrapText="1"/>
    </xf>
    <xf numFmtId="0" fontId="2" fillId="4" borderId="27" xfId="0" applyFont="1" applyFill="1" applyBorder="1" applyAlignment="1">
      <alignment horizontal="center" vertical="center" wrapText="1"/>
    </xf>
    <xf numFmtId="0" fontId="2" fillId="3" borderId="26"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5" borderId="3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32"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32" xfId="0" applyFont="1" applyFill="1" applyBorder="1" applyAlignment="1">
      <alignment horizontal="center" vertical="center" wrapText="1"/>
    </xf>
    <xf numFmtId="0" fontId="2" fillId="5" borderId="54" xfId="0" applyFont="1" applyFill="1" applyBorder="1" applyAlignment="1">
      <alignment horizontal="center" vertical="center" wrapText="1"/>
    </xf>
    <xf numFmtId="0" fontId="2" fillId="5" borderId="53" xfId="0" applyFont="1" applyFill="1" applyBorder="1" applyAlignment="1">
      <alignment horizontal="center" vertical="center" wrapText="1"/>
    </xf>
    <xf numFmtId="0" fontId="2" fillId="14" borderId="42"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4" borderId="32"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5" borderId="3" xfId="0" applyFont="1" applyFill="1" applyBorder="1" applyAlignment="1">
      <alignment horizontal="center" vertical="center" wrapText="1"/>
    </xf>
    <xf numFmtId="0" fontId="2" fillId="4" borderId="31" xfId="0" applyFont="1" applyFill="1" applyBorder="1" applyAlignment="1">
      <alignment horizontal="center" vertical="center" wrapText="1"/>
    </xf>
    <xf numFmtId="0" fontId="2" fillId="12" borderId="68" xfId="0" applyFont="1" applyFill="1" applyBorder="1" applyAlignment="1">
      <alignment horizontal="center" vertical="center" wrapText="1"/>
    </xf>
    <xf numFmtId="0" fontId="2" fillId="12" borderId="66" xfId="0" applyFont="1" applyFill="1" applyBorder="1" applyAlignment="1">
      <alignment horizontal="center" vertical="center" wrapText="1"/>
    </xf>
    <xf numFmtId="0" fontId="2" fillId="3" borderId="31" xfId="0" applyFont="1" applyFill="1" applyBorder="1" applyAlignment="1">
      <alignment horizontal="center" vertical="center" wrapText="1"/>
    </xf>
    <xf numFmtId="0" fontId="2" fillId="22" borderId="10" xfId="0" applyFont="1" applyFill="1" applyBorder="1" applyAlignment="1">
      <alignment horizontal="center" vertical="center" wrapText="1"/>
    </xf>
    <xf numFmtId="0" fontId="2" fillId="14" borderId="68" xfId="0" applyFont="1" applyFill="1" applyBorder="1" applyAlignment="1">
      <alignment horizontal="center" vertical="center"/>
    </xf>
    <xf numFmtId="0" fontId="2" fillId="9" borderId="61" xfId="0" applyFont="1" applyFill="1" applyBorder="1" applyAlignment="1">
      <alignment horizontal="center" vertical="center" wrapText="1"/>
    </xf>
    <xf numFmtId="0" fontId="3" fillId="11" borderId="0" xfId="0" applyFont="1" applyFill="1" applyBorder="1"/>
    <xf numFmtId="0" fontId="0" fillId="11" borderId="0" xfId="0" applyFill="1" applyBorder="1"/>
    <xf numFmtId="0" fontId="2" fillId="9" borderId="53" xfId="0" applyFont="1" applyFill="1" applyBorder="1" applyAlignment="1">
      <alignment horizontal="center" vertical="center" wrapText="1"/>
    </xf>
    <xf numFmtId="0" fontId="2" fillId="9" borderId="54" xfId="0" applyFont="1" applyFill="1" applyBorder="1" applyAlignment="1">
      <alignment horizontal="center" vertical="center" wrapText="1"/>
    </xf>
    <xf numFmtId="164" fontId="2" fillId="9" borderId="54" xfId="3" applyFont="1" applyFill="1" applyBorder="1" applyAlignment="1">
      <alignment horizontal="center" vertical="center" wrapText="1"/>
    </xf>
    <xf numFmtId="0" fontId="2" fillId="22" borderId="55" xfId="0" applyFont="1" applyFill="1" applyBorder="1" applyAlignment="1">
      <alignment horizontal="center" vertical="center" wrapText="1"/>
    </xf>
    <xf numFmtId="0" fontId="2" fillId="16" borderId="53" xfId="0" applyFont="1" applyFill="1" applyBorder="1" applyAlignment="1">
      <alignment horizontal="center" vertical="center" wrapText="1"/>
    </xf>
    <xf numFmtId="0" fontId="2" fillId="16" borderId="54" xfId="0" applyFont="1" applyFill="1" applyBorder="1" applyAlignment="1">
      <alignment horizontal="center" vertical="center" wrapText="1"/>
    </xf>
    <xf numFmtId="164" fontId="2" fillId="16" borderId="54" xfId="3" applyFont="1" applyFill="1" applyBorder="1" applyAlignment="1">
      <alignment horizontal="center" vertical="center" wrapText="1"/>
    </xf>
    <xf numFmtId="0" fontId="3" fillId="11" borderId="0" xfId="0" applyFont="1" applyFill="1" applyBorder="1" applyAlignment="1">
      <alignment horizontal="center"/>
    </xf>
    <xf numFmtId="164" fontId="2" fillId="15" borderId="69" xfId="3" applyFont="1" applyFill="1" applyBorder="1" applyAlignment="1">
      <alignment horizontal="center" vertical="center" wrapText="1"/>
    </xf>
    <xf numFmtId="164" fontId="0" fillId="0" borderId="47" xfId="3" applyFont="1" applyBorder="1"/>
    <xf numFmtId="0" fontId="1" fillId="11" borderId="0" xfId="0" applyFont="1" applyFill="1"/>
    <xf numFmtId="0" fontId="0" fillId="11" borderId="0" xfId="0" applyFont="1" applyFill="1"/>
    <xf numFmtId="0" fontId="1" fillId="11" borderId="0" xfId="0" applyFont="1" applyFill="1" applyBorder="1" applyAlignment="1">
      <alignment horizontal="left" wrapText="1"/>
    </xf>
    <xf numFmtId="0" fontId="13" fillId="11" borderId="0" xfId="0" applyFont="1" applyFill="1" applyAlignment="1">
      <alignment horizontal="left" vertical="center"/>
    </xf>
    <xf numFmtId="0" fontId="2" fillId="15" borderId="56" xfId="0" applyFont="1" applyFill="1" applyBorder="1" applyAlignment="1">
      <alignment horizontal="center" vertical="center" wrapText="1"/>
    </xf>
    <xf numFmtId="166" fontId="0" fillId="0" borderId="29" xfId="3" applyNumberFormat="1" applyFont="1" applyBorder="1"/>
    <xf numFmtId="0" fontId="2" fillId="13" borderId="53" xfId="0" applyFont="1" applyFill="1" applyBorder="1"/>
    <xf numFmtId="0" fontId="0" fillId="11" borderId="0" xfId="0" applyFill="1" applyBorder="1" applyAlignment="1">
      <alignment horizontal="center" wrapText="1"/>
    </xf>
    <xf numFmtId="0" fontId="0" fillId="11" borderId="0" xfId="0" applyFill="1" applyBorder="1" applyAlignment="1">
      <alignment horizontal="center"/>
    </xf>
    <xf numFmtId="0" fontId="0" fillId="0" borderId="26" xfId="0" applyBorder="1" applyAlignment="1">
      <alignment wrapText="1"/>
    </xf>
    <xf numFmtId="0" fontId="0" fillId="0" borderId="28" xfId="0" applyBorder="1" applyAlignment="1">
      <alignment wrapText="1"/>
    </xf>
    <xf numFmtId="0" fontId="2" fillId="13" borderId="53" xfId="0" applyFont="1" applyFill="1" applyBorder="1" applyAlignment="1">
      <alignment wrapText="1"/>
    </xf>
    <xf numFmtId="0" fontId="3" fillId="11" borderId="41" xfId="0" applyFont="1" applyFill="1" applyBorder="1" applyAlignment="1">
      <alignment wrapText="1"/>
    </xf>
    <xf numFmtId="0" fontId="0" fillId="11" borderId="0" xfId="0" quotePrefix="1" applyFill="1" applyBorder="1" applyAlignment="1">
      <alignment horizontal="left" vertical="center"/>
    </xf>
    <xf numFmtId="0" fontId="0" fillId="11" borderId="0" xfId="0" applyFill="1" applyBorder="1" applyAlignment="1">
      <alignment horizontal="left" vertical="center"/>
    </xf>
    <xf numFmtId="0" fontId="3" fillId="11" borderId="0" xfId="0" applyFont="1" applyFill="1" applyBorder="1" applyAlignment="1">
      <alignment vertical="top" wrapText="1"/>
    </xf>
    <xf numFmtId="0" fontId="5" fillId="11" borderId="0" xfId="0" applyFont="1" applyFill="1" applyBorder="1" applyAlignment="1"/>
    <xf numFmtId="0" fontId="2" fillId="11" borderId="0" xfId="0" applyFont="1" applyFill="1" applyBorder="1" applyAlignment="1">
      <alignment vertical="center"/>
    </xf>
    <xf numFmtId="0" fontId="1" fillId="0" borderId="0" xfId="0" applyFont="1" applyAlignment="1">
      <alignment vertical="top" wrapText="1"/>
    </xf>
    <xf numFmtId="0" fontId="18" fillId="0" borderId="0" xfId="0" applyFont="1" applyAlignment="1">
      <alignment vertical="center" wrapText="1"/>
    </xf>
    <xf numFmtId="0" fontId="1" fillId="11" borderId="0" xfId="0" applyFont="1" applyFill="1" applyAlignment="1">
      <alignment horizontal="justify" vertical="top"/>
    </xf>
    <xf numFmtId="0" fontId="1" fillId="11" borderId="0" xfId="0" applyFont="1" applyFill="1" applyAlignment="1">
      <alignment vertical="center"/>
    </xf>
    <xf numFmtId="0" fontId="0" fillId="14" borderId="68" xfId="0" applyFill="1" applyBorder="1" applyAlignment="1">
      <alignment vertical="center"/>
    </xf>
    <xf numFmtId="0" fontId="2" fillId="14" borderId="68" xfId="0" applyFont="1" applyFill="1" applyBorder="1" applyAlignment="1">
      <alignment vertical="center" wrapText="1"/>
    </xf>
    <xf numFmtId="0" fontId="2" fillId="17" borderId="61" xfId="0" applyFont="1" applyFill="1" applyBorder="1" applyAlignment="1">
      <alignment horizontal="center" vertical="center" wrapText="1"/>
    </xf>
    <xf numFmtId="0" fontId="0" fillId="0" borderId="25" xfId="0" applyBorder="1" applyAlignment="1">
      <alignment horizontal="center"/>
    </xf>
    <xf numFmtId="0" fontId="2" fillId="5" borderId="1" xfId="0" applyFont="1" applyFill="1" applyBorder="1" applyAlignment="1">
      <alignment horizontal="center" vertical="center"/>
    </xf>
    <xf numFmtId="0" fontId="2" fillId="25" borderId="1" xfId="0" applyFont="1" applyFill="1" applyBorder="1" applyAlignment="1">
      <alignment horizontal="center" vertical="center"/>
    </xf>
    <xf numFmtId="0" fontId="2" fillId="24" borderId="1" xfId="0" applyFont="1" applyFill="1" applyBorder="1" applyAlignment="1">
      <alignment horizontal="center" vertical="center" wrapText="1"/>
    </xf>
    <xf numFmtId="0" fontId="2" fillId="18" borderId="10" xfId="0" applyFont="1" applyFill="1" applyBorder="1" applyAlignment="1">
      <alignment horizontal="center" vertical="center" wrapText="1"/>
    </xf>
    <xf numFmtId="164" fontId="2" fillId="3" borderId="11" xfId="3" applyFont="1" applyFill="1" applyBorder="1" applyAlignment="1">
      <alignment horizontal="center" vertical="center" wrapText="1"/>
    </xf>
    <xf numFmtId="0" fontId="2" fillId="9" borderId="1" xfId="0" applyFont="1" applyFill="1" applyBorder="1" applyAlignment="1">
      <alignment horizontal="center" vertical="center" wrapText="1"/>
    </xf>
    <xf numFmtId="164" fontId="2" fillId="2" borderId="1" xfId="3" applyFont="1" applyFill="1" applyBorder="1" applyAlignment="1">
      <alignment horizontal="center" vertical="center" wrapText="1"/>
    </xf>
    <xf numFmtId="0" fontId="2" fillId="14" borderId="1" xfId="0" applyFont="1" applyFill="1" applyBorder="1" applyAlignment="1">
      <alignment horizontal="center" vertical="center"/>
    </xf>
    <xf numFmtId="0" fontId="0" fillId="0" borderId="26" xfId="0" applyBorder="1" applyAlignment="1">
      <alignment horizontal="center"/>
    </xf>
    <xf numFmtId="0" fontId="1" fillId="11" borderId="0" xfId="0" applyFont="1" applyFill="1" applyBorder="1" applyAlignment="1">
      <alignment horizontal="left" wrapText="1"/>
    </xf>
    <xf numFmtId="0" fontId="2" fillId="2" borderId="78" xfId="0" applyFont="1" applyFill="1" applyBorder="1" applyAlignment="1">
      <alignment horizontal="center" vertical="center" wrapText="1"/>
    </xf>
    <xf numFmtId="0" fontId="2" fillId="14" borderId="77" xfId="0" applyFont="1" applyFill="1" applyBorder="1" applyAlignment="1">
      <alignment horizontal="center" vertical="center" wrapText="1"/>
    </xf>
    <xf numFmtId="0" fontId="2" fillId="3" borderId="53" xfId="0" applyFont="1" applyFill="1" applyBorder="1" applyAlignment="1">
      <alignment horizontal="center" vertical="center" wrapText="1"/>
    </xf>
    <xf numFmtId="0" fontId="2" fillId="3" borderId="54" xfId="0" applyFont="1" applyFill="1" applyBorder="1" applyAlignment="1">
      <alignment horizontal="center" vertical="center" wrapText="1"/>
    </xf>
    <xf numFmtId="164" fontId="2" fillId="3" borderId="54" xfId="3" applyFont="1" applyFill="1" applyBorder="1" applyAlignment="1">
      <alignment horizontal="center" vertical="center" wrapText="1"/>
    </xf>
    <xf numFmtId="0" fontId="1" fillId="11" borderId="0" xfId="0" applyFont="1" applyFill="1" applyAlignment="1">
      <alignment vertical="center" wrapText="1"/>
    </xf>
    <xf numFmtId="0" fontId="1" fillId="11" borderId="0" xfId="0" applyFont="1" applyFill="1" applyBorder="1" applyAlignment="1">
      <alignment wrapText="1"/>
    </xf>
    <xf numFmtId="0" fontId="0" fillId="11" borderId="12" xfId="0" applyFill="1" applyBorder="1" applyAlignment="1">
      <alignment vertical="center"/>
    </xf>
    <xf numFmtId="0" fontId="3" fillId="11" borderId="12" xfId="0" applyFont="1" applyFill="1" applyBorder="1" applyAlignment="1">
      <alignment vertical="center"/>
    </xf>
    <xf numFmtId="0" fontId="5" fillId="11" borderId="12" xfId="0" applyFont="1" applyFill="1" applyBorder="1" applyAlignment="1">
      <alignment vertical="center"/>
    </xf>
    <xf numFmtId="0" fontId="11" fillId="11" borderId="0" xfId="4" applyFont="1" applyFill="1" applyBorder="1" applyAlignment="1">
      <alignment vertical="center"/>
    </xf>
    <xf numFmtId="0" fontId="3" fillId="11" borderId="0" xfId="0" applyFont="1" applyFill="1" applyBorder="1" applyAlignment="1">
      <alignment vertical="center"/>
    </xf>
    <xf numFmtId="0" fontId="20" fillId="11" borderId="12" xfId="4" applyFont="1" applyFill="1" applyBorder="1" applyAlignment="1">
      <alignment vertical="center"/>
    </xf>
    <xf numFmtId="0" fontId="20" fillId="11" borderId="12" xfId="4" applyFont="1" applyFill="1" applyBorder="1"/>
    <xf numFmtId="0" fontId="0" fillId="0" borderId="0" xfId="0" applyFill="1"/>
    <xf numFmtId="0" fontId="9" fillId="0" borderId="0" xfId="4" applyFill="1"/>
    <xf numFmtId="0" fontId="21" fillId="11" borderId="12" xfId="0" applyFont="1" applyFill="1" applyBorder="1" applyAlignment="1">
      <alignment vertical="center"/>
    </xf>
    <xf numFmtId="0" fontId="22" fillId="11" borderId="12" xfId="4" applyFont="1" applyFill="1" applyBorder="1" applyAlignment="1">
      <alignment vertical="center"/>
    </xf>
    <xf numFmtId="0" fontId="23" fillId="11" borderId="12" xfId="0" applyFont="1" applyFill="1" applyBorder="1"/>
    <xf numFmtId="0" fontId="21" fillId="11" borderId="0" xfId="0" applyFont="1" applyFill="1" applyBorder="1" applyAlignment="1">
      <alignment vertical="center"/>
    </xf>
    <xf numFmtId="0" fontId="22" fillId="11" borderId="0" xfId="4" applyFont="1" applyFill="1" applyBorder="1" applyAlignment="1">
      <alignment vertical="center"/>
    </xf>
    <xf numFmtId="0" fontId="23" fillId="11" borderId="0" xfId="0" applyFont="1" applyFill="1" applyBorder="1"/>
    <xf numFmtId="0" fontId="24" fillId="11" borderId="12" xfId="0" applyFont="1" applyFill="1" applyBorder="1" applyAlignment="1">
      <alignment vertical="center"/>
    </xf>
    <xf numFmtId="0" fontId="25" fillId="0" borderId="0" xfId="4" applyFont="1" applyFill="1"/>
    <xf numFmtId="0" fontId="23" fillId="11" borderId="0" xfId="0" applyFont="1" applyFill="1" applyAlignment="1">
      <alignment vertical="center"/>
    </xf>
    <xf numFmtId="0" fontId="25" fillId="11" borderId="0" xfId="4" applyFont="1" applyFill="1" applyAlignment="1">
      <alignment vertical="center"/>
    </xf>
    <xf numFmtId="0" fontId="23" fillId="11" borderId="0" xfId="0" applyFont="1" applyFill="1"/>
    <xf numFmtId="0" fontId="25" fillId="11" borderId="12" xfId="4" applyFont="1" applyFill="1" applyBorder="1"/>
    <xf numFmtId="0" fontId="0" fillId="0" borderId="1" xfId="0" applyBorder="1" applyAlignment="1">
      <alignment horizontal="center"/>
    </xf>
    <xf numFmtId="0" fontId="5" fillId="11" borderId="0" xfId="0" applyFont="1" applyFill="1" applyAlignment="1">
      <alignment horizontal="left" vertical="top" wrapText="1"/>
    </xf>
    <xf numFmtId="0" fontId="3" fillId="11" borderId="0" xfId="0" applyFont="1" applyFill="1" applyAlignment="1">
      <alignment horizontal="left" wrapText="1"/>
    </xf>
    <xf numFmtId="164" fontId="2" fillId="3" borderId="20" xfId="3"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6" borderId="27" xfId="0" applyFont="1" applyFill="1" applyBorder="1" applyAlignment="1">
      <alignment horizontal="center" vertical="center" wrapText="1"/>
    </xf>
    <xf numFmtId="164" fontId="2" fillId="3" borderId="10" xfId="3" applyFont="1" applyFill="1" applyBorder="1" applyAlignment="1">
      <alignment horizontal="center" vertical="center" wrapText="1"/>
    </xf>
    <xf numFmtId="0" fontId="2" fillId="22" borderId="3" xfId="0" applyFont="1" applyFill="1" applyBorder="1" applyAlignment="1">
      <alignment horizontal="center" vertical="center" wrapText="1"/>
    </xf>
    <xf numFmtId="14" fontId="0" fillId="0" borderId="11" xfId="0" applyNumberFormat="1" applyBorder="1"/>
    <xf numFmtId="14" fontId="0" fillId="0" borderId="25" xfId="0" applyNumberFormat="1" applyBorder="1"/>
    <xf numFmtId="14" fontId="0" fillId="0" borderId="24" xfId="0" applyNumberFormat="1" applyBorder="1"/>
    <xf numFmtId="164" fontId="0" fillId="0" borderId="25" xfId="3" applyFont="1" applyBorder="1"/>
    <xf numFmtId="0" fontId="2" fillId="25" borderId="72" xfId="0" applyFont="1" applyFill="1" applyBorder="1" applyAlignment="1">
      <alignment horizontal="center" vertical="center" wrapText="1"/>
    </xf>
    <xf numFmtId="0" fontId="2" fillId="25" borderId="70" xfId="0" applyFont="1" applyFill="1" applyBorder="1" applyAlignment="1">
      <alignment horizontal="center" vertical="center" wrapText="1"/>
    </xf>
    <xf numFmtId="0" fontId="2" fillId="25" borderId="73" xfId="0" applyFont="1" applyFill="1" applyBorder="1" applyAlignment="1">
      <alignment horizontal="center" vertical="center" wrapText="1"/>
    </xf>
    <xf numFmtId="0" fontId="2" fillId="5" borderId="72" xfId="0" applyFont="1" applyFill="1" applyBorder="1" applyAlignment="1">
      <alignment horizontal="center" vertical="center" wrapText="1"/>
    </xf>
    <xf numFmtId="0" fontId="2" fillId="5" borderId="70" xfId="0" applyFont="1" applyFill="1" applyBorder="1" applyAlignment="1">
      <alignment horizontal="center" vertical="center" wrapText="1"/>
    </xf>
    <xf numFmtId="0" fontId="2" fillId="5" borderId="78" xfId="0" applyFont="1" applyFill="1" applyBorder="1" applyAlignment="1">
      <alignment horizontal="center" vertical="center" wrapText="1"/>
    </xf>
    <xf numFmtId="0" fontId="2" fillId="4" borderId="35" xfId="0" applyFont="1" applyFill="1" applyBorder="1" applyAlignment="1">
      <alignment horizontal="center" vertical="center" wrapText="1"/>
    </xf>
    <xf numFmtId="164" fontId="2" fillId="4" borderId="37" xfId="3" applyFont="1" applyFill="1" applyBorder="1" applyAlignment="1">
      <alignment horizontal="center" vertical="center" wrapText="1"/>
    </xf>
    <xf numFmtId="164" fontId="2" fillId="4" borderId="38" xfId="3" applyFont="1" applyFill="1" applyBorder="1" applyAlignment="1">
      <alignment horizontal="center" vertical="center" wrapText="1"/>
    </xf>
    <xf numFmtId="0" fontId="2" fillId="23" borderId="77" xfId="0" applyFont="1" applyFill="1" applyBorder="1" applyAlignment="1">
      <alignment horizontal="center" vertical="center" wrapText="1"/>
    </xf>
    <xf numFmtId="0" fontId="1" fillId="11" borderId="12" xfId="0" applyFont="1" applyFill="1" applyBorder="1" applyAlignment="1">
      <alignment vertical="center"/>
    </xf>
    <xf numFmtId="0" fontId="9" fillId="11" borderId="12" xfId="4" applyFill="1" applyBorder="1" applyAlignment="1">
      <alignment vertical="center"/>
    </xf>
    <xf numFmtId="0" fontId="3" fillId="13" borderId="40" xfId="0" applyFont="1" applyFill="1" applyBorder="1" applyAlignment="1">
      <alignment vertical="center"/>
    </xf>
    <xf numFmtId="0" fontId="3" fillId="13" borderId="42" xfId="0" applyFont="1" applyFill="1" applyBorder="1" applyAlignment="1">
      <alignment vertical="center"/>
    </xf>
    <xf numFmtId="0" fontId="3" fillId="0" borderId="43" xfId="0" applyFont="1" applyBorder="1" applyAlignment="1">
      <alignment vertical="top"/>
    </xf>
    <xf numFmtId="0" fontId="3" fillId="0" borderId="43" xfId="0" applyFont="1" applyBorder="1" applyAlignment="1">
      <alignment vertical="top" wrapText="1"/>
    </xf>
    <xf numFmtId="0" fontId="3" fillId="0" borderId="74" xfId="0" applyFont="1" applyBorder="1" applyAlignment="1">
      <alignment vertical="top"/>
    </xf>
    <xf numFmtId="0" fontId="0" fillId="0" borderId="74" xfId="0" applyBorder="1" applyAlignment="1"/>
    <xf numFmtId="0" fontId="0" fillId="0" borderId="43" xfId="0" applyBorder="1" applyAlignment="1"/>
    <xf numFmtId="0" fontId="0" fillId="11" borderId="27" xfId="0" applyFill="1" applyBorder="1" applyAlignment="1">
      <alignment horizontal="left" vertical="center"/>
    </xf>
    <xf numFmtId="0" fontId="0" fillId="11" borderId="27" xfId="0" applyFill="1" applyBorder="1" applyAlignment="1">
      <alignment horizontal="left" vertical="center" wrapText="1"/>
    </xf>
    <xf numFmtId="0" fontId="0" fillId="11" borderId="30" xfId="0" applyFill="1" applyBorder="1" applyAlignment="1">
      <alignment horizontal="left" vertical="center"/>
    </xf>
    <xf numFmtId="0" fontId="1" fillId="11" borderId="0" xfId="0" applyFont="1" applyFill="1" applyBorder="1"/>
    <xf numFmtId="0" fontId="1" fillId="0" borderId="0" xfId="0" applyFont="1"/>
    <xf numFmtId="0" fontId="1" fillId="0" borderId="0" xfId="0" applyFont="1" applyFill="1" applyBorder="1"/>
    <xf numFmtId="0" fontId="1" fillId="0" borderId="0" xfId="0" applyFont="1" applyFill="1"/>
    <xf numFmtId="0" fontId="1" fillId="11" borderId="40" xfId="0" applyFont="1" applyFill="1" applyBorder="1"/>
    <xf numFmtId="0" fontId="1" fillId="11" borderId="41" xfId="0" applyFont="1" applyFill="1" applyBorder="1"/>
    <xf numFmtId="0" fontId="1" fillId="11" borderId="42" xfId="0" applyFont="1" applyFill="1" applyBorder="1"/>
    <xf numFmtId="0" fontId="1" fillId="11" borderId="39" xfId="0" applyFont="1" applyFill="1" applyBorder="1"/>
    <xf numFmtId="0" fontId="1" fillId="11" borderId="46" xfId="0" applyFont="1" applyFill="1" applyBorder="1"/>
    <xf numFmtId="0" fontId="1" fillId="11" borderId="1" xfId="0" applyFont="1" applyFill="1" applyBorder="1" applyAlignment="1">
      <alignment horizontal="center" vertical="center"/>
    </xf>
    <xf numFmtId="1" fontId="1" fillId="11" borderId="1" xfId="0" applyNumberFormat="1" applyFont="1" applyFill="1" applyBorder="1" applyAlignment="1">
      <alignment horizontal="center" vertical="center"/>
    </xf>
    <xf numFmtId="1" fontId="1" fillId="11" borderId="0" xfId="0" applyNumberFormat="1" applyFont="1" applyFill="1" applyBorder="1" applyAlignment="1">
      <alignment horizontal="center"/>
    </xf>
    <xf numFmtId="0" fontId="1" fillId="11" borderId="0" xfId="0" applyFont="1" applyFill="1" applyBorder="1" applyAlignment="1">
      <alignment horizontal="center"/>
    </xf>
    <xf numFmtId="0" fontId="1" fillId="11" borderId="8" xfId="0" applyFont="1" applyFill="1" applyBorder="1"/>
    <xf numFmtId="0" fontId="1" fillId="11" borderId="9" xfId="0" applyFont="1" applyFill="1" applyBorder="1"/>
    <xf numFmtId="1" fontId="1" fillId="11" borderId="9" xfId="0" applyNumberFormat="1" applyFont="1" applyFill="1" applyBorder="1" applyAlignment="1">
      <alignment horizontal="center"/>
    </xf>
    <xf numFmtId="0" fontId="1" fillId="11" borderId="9" xfId="0" applyFont="1" applyFill="1" applyBorder="1" applyAlignment="1">
      <alignment horizontal="center"/>
    </xf>
    <xf numFmtId="0" fontId="1" fillId="11" borderId="71" xfId="0" applyFont="1" applyFill="1" applyBorder="1"/>
    <xf numFmtId="0" fontId="1" fillId="27" borderId="0" xfId="0" applyFont="1" applyFill="1" applyBorder="1"/>
    <xf numFmtId="9" fontId="1" fillId="11" borderId="1" xfId="0" applyNumberFormat="1" applyFont="1" applyFill="1" applyBorder="1" applyAlignment="1">
      <alignment horizontal="center" vertical="center"/>
    </xf>
    <xf numFmtId="0" fontId="0" fillId="11" borderId="0" xfId="0" applyFill="1" applyAlignment="1">
      <alignment horizontal="left" vertical="top" wrapText="1"/>
    </xf>
    <xf numFmtId="0" fontId="9" fillId="11" borderId="0" xfId="4" applyFill="1" applyBorder="1" applyAlignment="1">
      <alignment vertical="center"/>
    </xf>
    <xf numFmtId="0" fontId="9" fillId="0" borderId="0" xfId="4" applyFill="1" applyAlignment="1">
      <alignment vertical="center"/>
    </xf>
    <xf numFmtId="0" fontId="2"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0" borderId="0" xfId="0" applyAlignment="1">
      <alignment horizontal="left" vertical="top" wrapText="1"/>
    </xf>
    <xf numFmtId="0" fontId="0" fillId="0" borderId="0" xfId="0" applyAlignment="1">
      <alignment horizontal="center" vertical="center"/>
    </xf>
    <xf numFmtId="0" fontId="0" fillId="11" borderId="0" xfId="0" applyFill="1" applyAlignment="1">
      <alignment horizontal="center" vertical="center"/>
    </xf>
    <xf numFmtId="0" fontId="2" fillId="2" borderId="1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0" xfId="0" applyFont="1" applyAlignment="1">
      <alignment horizontal="center" vertical="center"/>
    </xf>
    <xf numFmtId="0" fontId="2" fillId="5" borderId="1" xfId="0" applyFont="1" applyFill="1" applyBorder="1" applyAlignment="1">
      <alignment horizontal="center" vertical="center" wrapText="1"/>
    </xf>
    <xf numFmtId="0" fontId="3" fillId="11" borderId="0" xfId="0" applyFont="1" applyFill="1" applyAlignment="1">
      <alignment horizontal="left" vertical="top"/>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12" borderId="0" xfId="0" applyFont="1" applyFill="1" applyBorder="1" applyAlignment="1">
      <alignment horizontal="center"/>
    </xf>
    <xf numFmtId="0" fontId="1" fillId="11" borderId="0" xfId="0" applyFont="1" applyFill="1" applyBorder="1" applyAlignment="1">
      <alignment horizontal="left" vertical="top" wrapText="1"/>
    </xf>
    <xf numFmtId="0" fontId="3" fillId="6" borderId="1" xfId="0" applyFont="1" applyFill="1" applyBorder="1" applyAlignment="1">
      <alignment horizontal="left" vertical="center" wrapText="1"/>
    </xf>
    <xf numFmtId="0" fontId="0" fillId="11" borderId="0" xfId="0" applyFill="1" applyAlignment="1">
      <alignment horizontal="left" vertical="top" wrapText="1"/>
    </xf>
    <xf numFmtId="0" fontId="3" fillId="6" borderId="21" xfId="0" applyFont="1" applyFill="1" applyBorder="1" applyAlignment="1">
      <alignment horizontal="left" vertical="center" wrapText="1"/>
    </xf>
    <xf numFmtId="0" fontId="3" fillId="6" borderId="23" xfId="0" applyFont="1" applyFill="1" applyBorder="1" applyAlignment="1">
      <alignment horizontal="left" vertical="center" wrapText="1"/>
    </xf>
    <xf numFmtId="0" fontId="0" fillId="8" borderId="53" xfId="0" applyFill="1" applyBorder="1" applyAlignment="1">
      <alignment horizontal="center"/>
    </xf>
    <xf numFmtId="0" fontId="0" fillId="8" borderId="54" xfId="0" applyFill="1" applyBorder="1" applyAlignment="1">
      <alignment horizontal="center"/>
    </xf>
    <xf numFmtId="0" fontId="0" fillId="8" borderId="55" xfId="0" applyFill="1" applyBorder="1" applyAlignment="1">
      <alignment horizontal="center"/>
    </xf>
    <xf numFmtId="0" fontId="0" fillId="0" borderId="26" xfId="0" applyBorder="1" applyAlignment="1">
      <alignment horizontal="center" wrapText="1"/>
    </xf>
    <xf numFmtId="0" fontId="0" fillId="0" borderId="1" xfId="0" applyBorder="1" applyAlignment="1">
      <alignment horizontal="center" wrapText="1"/>
    </xf>
    <xf numFmtId="0" fontId="0" fillId="0" borderId="27" xfId="0" applyBorder="1" applyAlignment="1">
      <alignment horizontal="center" wrapText="1"/>
    </xf>
    <xf numFmtId="0" fontId="0" fillId="0" borderId="28" xfId="0" applyBorder="1" applyAlignment="1">
      <alignment horizontal="center" wrapText="1"/>
    </xf>
    <xf numFmtId="0" fontId="0" fillId="0" borderId="29" xfId="0" applyBorder="1" applyAlignment="1">
      <alignment horizontal="center" wrapText="1"/>
    </xf>
    <xf numFmtId="0" fontId="0" fillId="0" borderId="30" xfId="0" applyBorder="1" applyAlignment="1">
      <alignment horizontal="center" wrapText="1"/>
    </xf>
    <xf numFmtId="0" fontId="0" fillId="0" borderId="2" xfId="0" applyBorder="1" applyAlignment="1">
      <alignment horizontal="center" wrapText="1"/>
    </xf>
    <xf numFmtId="0" fontId="0" fillId="0" borderId="4" xfId="0" applyBorder="1" applyAlignment="1">
      <alignment horizontal="center" wrapText="1"/>
    </xf>
    <xf numFmtId="0" fontId="0" fillId="0" borderId="44" xfId="0" applyBorder="1" applyAlignment="1">
      <alignment horizontal="center" wrapText="1"/>
    </xf>
    <xf numFmtId="0" fontId="0" fillId="0" borderId="47" xfId="0" applyBorder="1" applyAlignment="1">
      <alignment horizontal="center" wrapText="1"/>
    </xf>
    <xf numFmtId="0" fontId="0" fillId="0" borderId="48" xfId="0" applyBorder="1" applyAlignment="1">
      <alignment horizontal="center" wrapText="1"/>
    </xf>
    <xf numFmtId="0" fontId="0" fillId="0" borderId="49" xfId="0" applyBorder="1" applyAlignment="1">
      <alignment horizontal="center" wrapText="1"/>
    </xf>
    <xf numFmtId="0" fontId="0" fillId="13" borderId="69" xfId="0" applyFill="1" applyBorder="1" applyAlignment="1">
      <alignment horizontal="center" wrapText="1"/>
    </xf>
    <xf numFmtId="0" fontId="0" fillId="13" borderId="22" xfId="0" applyFill="1" applyBorder="1" applyAlignment="1">
      <alignment horizontal="center" wrapText="1"/>
    </xf>
    <xf numFmtId="0" fontId="0" fillId="13" borderId="23" xfId="0" applyFill="1"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45" xfId="0" applyBorder="1" applyAlignment="1">
      <alignment horizontal="center" wrapText="1"/>
    </xf>
    <xf numFmtId="0" fontId="0" fillId="13" borderId="69" xfId="0" applyFill="1" applyBorder="1" applyAlignment="1">
      <alignment horizontal="center"/>
    </xf>
    <xf numFmtId="0" fontId="0" fillId="13" borderId="22" xfId="0" applyFill="1" applyBorder="1" applyAlignment="1">
      <alignment horizontal="center"/>
    </xf>
    <xf numFmtId="0" fontId="0" fillId="13" borderId="23" xfId="0" applyFill="1" applyBorder="1" applyAlignment="1">
      <alignment horizontal="center"/>
    </xf>
    <xf numFmtId="0" fontId="2" fillId="14" borderId="0" xfId="0" applyFont="1" applyFill="1" applyAlignment="1">
      <alignment horizontal="center" vertical="center" wrapText="1"/>
    </xf>
    <xf numFmtId="0" fontId="2" fillId="14" borderId="13"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15" borderId="1" xfId="0" applyFont="1" applyFill="1" applyBorder="1" applyAlignment="1">
      <alignment horizontal="center" vertical="center"/>
    </xf>
    <xf numFmtId="0" fontId="0" fillId="15" borderId="1" xfId="0" applyFill="1" applyBorder="1" applyAlignment="1">
      <alignment horizontal="center" vertical="center"/>
    </xf>
    <xf numFmtId="0" fontId="2" fillId="6" borderId="67" xfId="0" applyFont="1" applyFill="1" applyBorder="1" applyAlignment="1">
      <alignment horizontal="center" vertical="center" wrapText="1"/>
    </xf>
    <xf numFmtId="0" fontId="2" fillId="6" borderId="20" xfId="0" applyFont="1" applyFill="1" applyBorder="1" applyAlignment="1">
      <alignment horizontal="center" vertical="center" wrapText="1"/>
    </xf>
    <xf numFmtId="0" fontId="3" fillId="5" borderId="10" xfId="0" applyFont="1" applyFill="1" applyBorder="1" applyAlignment="1">
      <alignment horizontal="center" vertical="center"/>
    </xf>
    <xf numFmtId="0" fontId="3" fillId="5" borderId="19" xfId="0" applyFont="1" applyFill="1" applyBorder="1" applyAlignment="1">
      <alignment horizontal="center" vertical="center"/>
    </xf>
    <xf numFmtId="0" fontId="3" fillId="3" borderId="14"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67"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15" fillId="5" borderId="17" xfId="0" applyFont="1" applyFill="1" applyBorder="1" applyAlignment="1">
      <alignment horizontal="center" vertical="top" wrapText="1"/>
    </xf>
    <xf numFmtId="0" fontId="3" fillId="2" borderId="10"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14" borderId="1" xfId="0" applyFill="1" applyBorder="1" applyAlignment="1">
      <alignment horizontal="center" vertical="center"/>
    </xf>
    <xf numFmtId="0" fontId="15" fillId="4" borderId="2" xfId="0" applyFont="1" applyFill="1" applyBorder="1" applyAlignment="1">
      <alignment horizontal="center" vertical="center" wrapText="1"/>
    </xf>
    <xf numFmtId="0" fontId="15" fillId="4" borderId="3"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0" fillId="0" borderId="0" xfId="0" applyAlignment="1">
      <alignment horizontal="left" vertical="top" wrapText="1"/>
    </xf>
    <xf numFmtId="0" fontId="0" fillId="11" borderId="8" xfId="0" applyFill="1" applyBorder="1" applyAlignment="1">
      <alignment horizontal="left" vertical="center" wrapText="1"/>
    </xf>
    <xf numFmtId="0" fontId="0" fillId="11" borderId="9" xfId="0" applyFill="1" applyBorder="1" applyAlignment="1">
      <alignment horizontal="left" vertical="center" wrapText="1"/>
    </xf>
    <xf numFmtId="0" fontId="3" fillId="11" borderId="0" xfId="0" applyFont="1" applyFill="1" applyAlignment="1">
      <alignment horizontal="left" vertical="center"/>
    </xf>
    <xf numFmtId="0" fontId="0" fillId="11" borderId="0" xfId="0" applyFill="1" applyAlignment="1">
      <alignment horizontal="center" vertical="center"/>
    </xf>
    <xf numFmtId="0" fontId="0" fillId="14" borderId="10" xfId="0" applyFill="1" applyBorder="1" applyAlignment="1">
      <alignment horizontal="center" vertical="center"/>
    </xf>
    <xf numFmtId="0" fontId="0" fillId="14" borderId="11" xfId="0" applyFill="1" applyBorder="1" applyAlignment="1">
      <alignment horizontal="center" vertical="center"/>
    </xf>
    <xf numFmtId="0" fontId="3" fillId="2" borderId="17"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0" fillId="11" borderId="5" xfId="0" applyFill="1" applyBorder="1" applyAlignment="1">
      <alignment horizontal="left" vertical="top" wrapText="1"/>
    </xf>
    <xf numFmtId="0" fontId="0" fillId="11" borderId="6" xfId="0" applyFill="1" applyBorder="1" applyAlignment="1">
      <alignment horizontal="left" vertical="top" wrapText="1"/>
    </xf>
    <xf numFmtId="0" fontId="0" fillId="11" borderId="7" xfId="0" applyFill="1" applyBorder="1" applyAlignment="1">
      <alignment horizontal="left" vertical="top" wrapText="1"/>
    </xf>
    <xf numFmtId="0" fontId="0" fillId="14" borderId="19" xfId="0" applyFill="1" applyBorder="1" applyAlignment="1">
      <alignment horizontal="center" vertical="center"/>
    </xf>
    <xf numFmtId="0" fontId="3" fillId="2"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0" fillId="11" borderId="17" xfId="0" applyFill="1" applyBorder="1" applyAlignment="1">
      <alignment horizontal="left"/>
    </xf>
    <xf numFmtId="0" fontId="0" fillId="11" borderId="13" xfId="0" applyFill="1" applyBorder="1" applyAlignment="1">
      <alignment horizontal="left"/>
    </xf>
    <xf numFmtId="0" fontId="2" fillId="11" borderId="17" xfId="0" applyFont="1" applyFill="1" applyBorder="1" applyAlignment="1">
      <alignment horizontal="left"/>
    </xf>
    <xf numFmtId="0" fontId="2" fillId="11" borderId="13" xfId="0" applyFont="1" applyFill="1" applyBorder="1" applyAlignment="1">
      <alignment horizontal="left"/>
    </xf>
    <xf numFmtId="0" fontId="0" fillId="11" borderId="0" xfId="0" applyFill="1" applyAlignment="1">
      <alignment horizontal="left" vertical="center" wrapText="1"/>
    </xf>
    <xf numFmtId="0" fontId="0" fillId="11" borderId="0" xfId="0" applyFill="1" applyAlignment="1">
      <alignment horizontal="left"/>
    </xf>
    <xf numFmtId="0" fontId="2" fillId="11" borderId="0" xfId="0" applyFont="1" applyFill="1" applyAlignment="1">
      <alignment horizontal="left" vertical="center"/>
    </xf>
    <xf numFmtId="0" fontId="0" fillId="11" borderId="0" xfId="0" applyFill="1" applyAlignment="1">
      <alignment horizontal="left" wrapText="1"/>
    </xf>
    <xf numFmtId="0" fontId="2" fillId="9" borderId="40" xfId="0" applyFont="1" applyFill="1" applyBorder="1" applyAlignment="1">
      <alignment horizontal="center"/>
    </xf>
    <xf numFmtId="0" fontId="2" fillId="9" borderId="41" xfId="0" applyFont="1" applyFill="1" applyBorder="1" applyAlignment="1">
      <alignment horizontal="center"/>
    </xf>
    <xf numFmtId="0" fontId="2" fillId="9" borderId="42" xfId="0" applyFont="1" applyFill="1" applyBorder="1" applyAlignment="1">
      <alignment horizontal="center"/>
    </xf>
    <xf numFmtId="0" fontId="3" fillId="12" borderId="40" xfId="0" applyFont="1" applyFill="1" applyBorder="1" applyAlignment="1">
      <alignment horizontal="center"/>
    </xf>
    <xf numFmtId="0" fontId="3" fillId="12" borderId="41" xfId="0" applyFont="1" applyFill="1" applyBorder="1" applyAlignment="1">
      <alignment horizontal="center"/>
    </xf>
    <xf numFmtId="0" fontId="3" fillId="12" borderId="42" xfId="0" applyFont="1" applyFill="1" applyBorder="1" applyAlignment="1">
      <alignment horizontal="center"/>
    </xf>
    <xf numFmtId="0" fontId="2" fillId="11" borderId="0" xfId="0" applyFont="1" applyFill="1" applyAlignment="1">
      <alignment horizontal="left"/>
    </xf>
    <xf numFmtId="0" fontId="2" fillId="6" borderId="2"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12" fillId="15" borderId="69" xfId="0" applyFont="1" applyFill="1" applyBorder="1" applyAlignment="1">
      <alignment horizontal="center" vertical="center"/>
    </xf>
    <xf numFmtId="0" fontId="12" fillId="15" borderId="64"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4" xfId="0" applyFont="1" applyFill="1" applyBorder="1" applyAlignment="1">
      <alignment horizontal="center" vertical="center"/>
    </xf>
    <xf numFmtId="0" fontId="3" fillId="8" borderId="3" xfId="0" applyFont="1" applyFill="1" applyBorder="1" applyAlignment="1">
      <alignment horizontal="center" vertical="center"/>
    </xf>
    <xf numFmtId="0" fontId="3" fillId="10" borderId="2" xfId="0" applyFont="1" applyFill="1" applyBorder="1" applyAlignment="1">
      <alignment horizontal="center" vertical="center"/>
    </xf>
    <xf numFmtId="0" fontId="3" fillId="10" borderId="44" xfId="0" applyFont="1" applyFill="1" applyBorder="1" applyAlignment="1">
      <alignment horizontal="center" vertical="center"/>
    </xf>
    <xf numFmtId="0" fontId="3" fillId="10" borderId="43" xfId="0" applyFont="1" applyFill="1" applyBorder="1" applyAlignment="1">
      <alignment horizontal="center" vertical="center"/>
    </xf>
    <xf numFmtId="0" fontId="3" fillId="10" borderId="3" xfId="0" applyFont="1" applyFill="1" applyBorder="1" applyAlignment="1">
      <alignment horizontal="center" vertical="center"/>
    </xf>
    <xf numFmtId="0" fontId="3" fillId="0" borderId="0" xfId="0" applyFont="1" applyAlignment="1">
      <alignment horizontal="center" vertical="center"/>
    </xf>
    <xf numFmtId="0" fontId="3" fillId="20" borderId="40" xfId="0" applyFont="1" applyFill="1" applyBorder="1" applyAlignment="1">
      <alignment horizontal="center" vertical="center"/>
    </xf>
    <xf numFmtId="0" fontId="3" fillId="20" borderId="41" xfId="0" applyFont="1" applyFill="1" applyBorder="1" applyAlignment="1">
      <alignment horizontal="center" vertical="center"/>
    </xf>
    <xf numFmtId="0" fontId="3" fillId="20" borderId="42" xfId="0" applyFont="1" applyFill="1" applyBorder="1" applyAlignment="1">
      <alignment horizontal="center" vertical="center"/>
    </xf>
    <xf numFmtId="0" fontId="3" fillId="20" borderId="39" xfId="0" applyFont="1" applyFill="1" applyBorder="1" applyAlignment="1">
      <alignment horizontal="center" vertical="center"/>
    </xf>
    <xf numFmtId="0" fontId="3" fillId="20" borderId="46" xfId="0" applyFont="1" applyFill="1" applyBorder="1" applyAlignment="1">
      <alignment horizontal="center" vertical="center"/>
    </xf>
    <xf numFmtId="0" fontId="19" fillId="20" borderId="33" xfId="0" applyFont="1" applyFill="1" applyBorder="1" applyAlignment="1">
      <alignment horizontal="center" vertical="center" wrapText="1"/>
    </xf>
    <xf numFmtId="0" fontId="19" fillId="20" borderId="13" xfId="0" applyFont="1" applyFill="1" applyBorder="1" applyAlignment="1">
      <alignment horizontal="center" vertical="center" wrapText="1"/>
    </xf>
    <xf numFmtId="0" fontId="19" fillId="20" borderId="34" xfId="0" applyFont="1" applyFill="1" applyBorder="1" applyAlignment="1">
      <alignment horizontal="center" vertical="center" wrapText="1"/>
    </xf>
    <xf numFmtId="0" fontId="2" fillId="15" borderId="33" xfId="0" applyFont="1" applyFill="1" applyBorder="1" applyAlignment="1">
      <alignment horizontal="center" vertical="center" wrapText="1"/>
    </xf>
    <xf numFmtId="0" fontId="2" fillId="15" borderId="26" xfId="0" applyFont="1" applyFill="1" applyBorder="1" applyAlignment="1">
      <alignment horizontal="center" vertical="center" wrapText="1"/>
    </xf>
    <xf numFmtId="0" fontId="3" fillId="12" borderId="5" xfId="0" applyFont="1" applyFill="1" applyBorder="1" applyAlignment="1">
      <alignment horizontal="center" vertical="center"/>
    </xf>
    <xf numFmtId="0" fontId="3" fillId="12" borderId="6" xfId="0" applyFont="1" applyFill="1" applyBorder="1" applyAlignment="1">
      <alignment horizontal="center" vertical="center"/>
    </xf>
    <xf numFmtId="0" fontId="3" fillId="12" borderId="35" xfId="0" applyFont="1" applyFill="1" applyBorder="1" applyAlignment="1">
      <alignment horizontal="center" vertical="center"/>
    </xf>
    <xf numFmtId="0" fontId="3" fillId="16" borderId="40" xfId="0" applyFont="1" applyFill="1" applyBorder="1" applyAlignment="1">
      <alignment horizontal="center" vertical="center"/>
    </xf>
    <xf numFmtId="0" fontId="3" fillId="16" borderId="41" xfId="0" applyFont="1" applyFill="1" applyBorder="1" applyAlignment="1">
      <alignment horizontal="center" vertical="center"/>
    </xf>
    <xf numFmtId="0" fontId="3" fillId="16" borderId="39" xfId="0" applyFont="1" applyFill="1" applyBorder="1" applyAlignment="1">
      <alignment horizontal="center" vertical="center"/>
    </xf>
    <xf numFmtId="0" fontId="3" fillId="16" borderId="33" xfId="0" applyFont="1" applyFill="1" applyBorder="1" applyAlignment="1">
      <alignment horizontal="center" vertical="center"/>
    </xf>
    <xf numFmtId="0" fontId="3" fillId="16" borderId="13" xfId="0" applyFont="1" applyFill="1" applyBorder="1" applyAlignment="1">
      <alignment horizontal="center" vertical="center"/>
    </xf>
    <xf numFmtId="0" fontId="3" fillId="9" borderId="36" xfId="0" applyFont="1" applyFill="1" applyBorder="1" applyAlignment="1">
      <alignment horizontal="center" vertical="center"/>
    </xf>
    <xf numFmtId="0" fontId="3" fillId="9" borderId="6" xfId="0" applyFont="1" applyFill="1" applyBorder="1" applyAlignment="1">
      <alignment horizontal="center" vertical="center"/>
    </xf>
    <xf numFmtId="0" fontId="3" fillId="19" borderId="37" xfId="0" applyFont="1" applyFill="1" applyBorder="1" applyAlignment="1">
      <alignment horizontal="center" vertical="center"/>
    </xf>
    <xf numFmtId="0" fontId="2" fillId="15" borderId="39" xfId="0" applyFont="1" applyFill="1" applyBorder="1" applyAlignment="1">
      <alignment horizontal="center" vertical="center" wrapText="1"/>
    </xf>
    <xf numFmtId="0" fontId="2" fillId="15" borderId="46" xfId="0" applyFont="1" applyFill="1" applyBorder="1" applyAlignment="1">
      <alignment horizontal="center" vertical="center" wrapText="1"/>
    </xf>
    <xf numFmtId="0" fontId="2" fillId="8" borderId="33" xfId="0" applyFont="1" applyFill="1" applyBorder="1" applyAlignment="1">
      <alignment horizontal="center" vertical="center" wrapText="1"/>
    </xf>
    <xf numFmtId="0" fontId="2" fillId="8" borderId="34" xfId="0" applyFont="1" applyFill="1" applyBorder="1" applyAlignment="1">
      <alignment horizontal="center" vertical="center" wrapText="1"/>
    </xf>
    <xf numFmtId="0" fontId="3" fillId="15" borderId="21" xfId="0" applyFont="1" applyFill="1" applyBorder="1" applyAlignment="1">
      <alignment horizontal="center" vertical="center"/>
    </xf>
    <xf numFmtId="0" fontId="3" fillId="15" borderId="41" xfId="0" applyFont="1" applyFill="1" applyBorder="1" applyAlignment="1">
      <alignment horizontal="center" vertical="center"/>
    </xf>
    <xf numFmtId="0" fontId="2" fillId="10" borderId="34" xfId="0" applyFont="1" applyFill="1" applyBorder="1" applyAlignment="1">
      <alignment horizontal="center" vertical="center" wrapText="1"/>
    </xf>
    <xf numFmtId="0" fontId="3" fillId="10" borderId="33" xfId="0" applyFont="1" applyFill="1" applyBorder="1" applyAlignment="1">
      <alignment horizontal="center" vertical="center"/>
    </xf>
    <xf numFmtId="0" fontId="3" fillId="10" borderId="13" xfId="0" applyFont="1" applyFill="1" applyBorder="1" applyAlignment="1">
      <alignment horizontal="center" vertical="center"/>
    </xf>
    <xf numFmtId="0" fontId="2" fillId="8" borderId="13" xfId="0" applyFont="1" applyFill="1" applyBorder="1" applyAlignment="1">
      <alignment horizontal="center" vertical="center" wrapText="1"/>
    </xf>
    <xf numFmtId="0" fontId="2" fillId="17" borderId="33" xfId="0" applyFont="1" applyFill="1" applyBorder="1" applyAlignment="1">
      <alignment horizontal="center" vertical="center" wrapText="1"/>
    </xf>
    <xf numFmtId="0" fontId="2" fillId="17" borderId="13" xfId="0" applyFont="1" applyFill="1" applyBorder="1" applyAlignment="1">
      <alignment horizontal="center" vertical="center" wrapText="1"/>
    </xf>
    <xf numFmtId="0" fontId="2" fillId="17" borderId="34" xfId="0" applyFont="1" applyFill="1" applyBorder="1" applyAlignment="1">
      <alignment horizontal="center" vertical="center" wrapText="1"/>
    </xf>
    <xf numFmtId="0" fontId="2" fillId="14" borderId="55" xfId="0" applyFont="1" applyFill="1" applyBorder="1" applyAlignment="1">
      <alignment horizontal="center" vertical="center" wrapText="1"/>
    </xf>
    <xf numFmtId="0" fontId="2" fillId="14" borderId="27" xfId="0" applyFont="1" applyFill="1" applyBorder="1" applyAlignment="1">
      <alignment horizontal="center" vertical="center" wrapText="1"/>
    </xf>
    <xf numFmtId="0" fontId="2" fillId="5" borderId="31" xfId="0" applyFont="1" applyFill="1" applyBorder="1" applyAlignment="1">
      <alignment horizontal="center" vertical="center" wrapText="1"/>
    </xf>
    <xf numFmtId="0" fontId="2" fillId="5" borderId="24" xfId="0" applyFont="1" applyFill="1" applyBorder="1" applyAlignment="1">
      <alignment horizontal="center" vertical="center" wrapText="1"/>
    </xf>
    <xf numFmtId="0" fontId="3" fillId="16" borderId="60" xfId="0" applyFont="1" applyFill="1" applyBorder="1" applyAlignment="1">
      <alignment horizontal="center" vertical="center"/>
    </xf>
    <xf numFmtId="0" fontId="3" fillId="16" borderId="20" xfId="0" applyFont="1" applyFill="1" applyBorder="1" applyAlignment="1">
      <alignment horizontal="center" vertical="center"/>
    </xf>
    <xf numFmtId="0" fontId="3" fillId="15" borderId="59" xfId="0" applyFont="1" applyFill="1" applyBorder="1" applyAlignment="1">
      <alignment horizontal="center" vertical="center"/>
    </xf>
    <xf numFmtId="0" fontId="3" fillId="15" borderId="60" xfId="0" applyFont="1" applyFill="1" applyBorder="1" applyAlignment="1">
      <alignment horizontal="center" vertical="center"/>
    </xf>
    <xf numFmtId="0" fontId="3" fillId="15" borderId="18" xfId="0" applyFont="1" applyFill="1" applyBorder="1" applyAlignment="1">
      <alignment horizontal="center" vertical="center"/>
    </xf>
    <xf numFmtId="0" fontId="3" fillId="15" borderId="67" xfId="0" applyFont="1" applyFill="1" applyBorder="1" applyAlignment="1">
      <alignment horizontal="center" vertical="center"/>
    </xf>
    <xf numFmtId="0" fontId="3" fillId="15" borderId="17" xfId="0" applyFont="1" applyFill="1" applyBorder="1" applyAlignment="1">
      <alignment horizontal="center" vertical="center"/>
    </xf>
    <xf numFmtId="0" fontId="3" fillId="15" borderId="20" xfId="0" applyFont="1" applyFill="1" applyBorder="1" applyAlignment="1">
      <alignment horizontal="center" vertical="center"/>
    </xf>
    <xf numFmtId="0" fontId="3" fillId="9" borderId="59" xfId="0" applyFont="1" applyFill="1" applyBorder="1" applyAlignment="1">
      <alignment horizontal="center" vertical="center" wrapText="1"/>
    </xf>
    <xf numFmtId="0" fontId="3" fillId="9" borderId="60" xfId="0"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67"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9" borderId="20"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23" borderId="1" xfId="0" applyFont="1" applyFill="1" applyBorder="1" applyAlignment="1">
      <alignment horizontal="center" vertical="center" wrapText="1"/>
    </xf>
    <xf numFmtId="0" fontId="3" fillId="11" borderId="0" xfId="0" applyFont="1" applyFill="1" applyAlignment="1">
      <alignment horizontal="left" wrapText="1"/>
    </xf>
    <xf numFmtId="0" fontId="5" fillId="11" borderId="0" xfId="0" applyFont="1" applyFill="1" applyAlignment="1">
      <alignment horizontal="left" vertical="top" wrapText="1"/>
    </xf>
    <xf numFmtId="0" fontId="2" fillId="16" borderId="2" xfId="0" applyFont="1" applyFill="1" applyBorder="1" applyAlignment="1">
      <alignment horizontal="center" vertical="center"/>
    </xf>
    <xf numFmtId="0" fontId="2" fillId="16" borderId="4" xfId="0" applyFont="1" applyFill="1" applyBorder="1" applyAlignment="1">
      <alignment horizontal="center" vertical="center"/>
    </xf>
    <xf numFmtId="0" fontId="2" fillId="16" borderId="3" xfId="0" applyFont="1" applyFill="1" applyBorder="1" applyAlignment="1">
      <alignment horizontal="center" vertical="center"/>
    </xf>
    <xf numFmtId="0" fontId="3" fillId="11" borderId="0" xfId="0" applyFont="1" applyFill="1" applyAlignment="1">
      <alignment horizontal="left" vertical="center" wrapText="1"/>
    </xf>
    <xf numFmtId="0" fontId="2" fillId="14" borderId="42" xfId="0" applyFont="1" applyFill="1" applyBorder="1" applyAlignment="1">
      <alignment horizontal="center" vertical="center" wrapText="1"/>
    </xf>
    <xf numFmtId="0" fontId="2" fillId="14" borderId="46" xfId="0" applyFont="1" applyFill="1" applyBorder="1" applyAlignment="1">
      <alignment horizontal="center" vertical="center" wrapText="1"/>
    </xf>
    <xf numFmtId="0" fontId="2" fillId="14" borderId="71" xfId="0" applyFont="1" applyFill="1" applyBorder="1" applyAlignment="1">
      <alignment horizontal="center" vertical="center" wrapText="1"/>
    </xf>
    <xf numFmtId="0" fontId="2" fillId="9" borderId="69" xfId="0" applyFont="1" applyFill="1" applyBorder="1" applyAlignment="1">
      <alignment horizontal="center"/>
    </xf>
    <xf numFmtId="0" fontId="2" fillId="9" borderId="64" xfId="0" applyFont="1" applyFill="1" applyBorder="1" applyAlignment="1">
      <alignment horizontal="center"/>
    </xf>
    <xf numFmtId="0" fontId="2" fillId="15" borderId="54"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5" borderId="53" xfId="0" applyFont="1" applyFill="1" applyBorder="1" applyAlignment="1">
      <alignment horizontal="center" vertical="center" wrapText="1"/>
    </xf>
    <xf numFmtId="0" fontId="3" fillId="15" borderId="54" xfId="0" applyFont="1" applyFill="1" applyBorder="1" applyAlignment="1">
      <alignment horizontal="center"/>
    </xf>
    <xf numFmtId="0" fontId="2" fillId="8" borderId="10" xfId="0" applyFont="1" applyFill="1" applyBorder="1" applyAlignment="1">
      <alignment horizontal="center" vertical="center" wrapText="1"/>
    </xf>
    <xf numFmtId="0" fontId="2" fillId="8" borderId="19" xfId="0" applyFont="1" applyFill="1" applyBorder="1" applyAlignment="1">
      <alignment horizontal="center" vertical="center" wrapText="1"/>
    </xf>
    <xf numFmtId="0" fontId="2" fillId="8" borderId="70" xfId="0" applyFont="1" applyFill="1" applyBorder="1" applyAlignment="1">
      <alignment horizontal="center" vertical="center" wrapText="1"/>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15" fillId="8" borderId="19" xfId="0" applyFont="1" applyFill="1" applyBorder="1" applyAlignment="1">
      <alignment horizontal="center" vertical="top" wrapText="1"/>
    </xf>
    <xf numFmtId="0" fontId="15" fillId="8" borderId="70" xfId="0" applyFont="1" applyFill="1" applyBorder="1" applyAlignment="1">
      <alignment horizontal="center" vertical="top" wrapText="1"/>
    </xf>
    <xf numFmtId="0" fontId="15" fillId="6" borderId="19" xfId="0" applyFont="1" applyFill="1" applyBorder="1" applyAlignment="1">
      <alignment horizontal="center" vertical="top" wrapText="1"/>
    </xf>
    <xf numFmtId="0" fontId="15" fillId="6" borderId="11" xfId="0" applyFont="1" applyFill="1" applyBorder="1" applyAlignment="1">
      <alignment horizontal="center" vertical="top" wrapText="1"/>
    </xf>
    <xf numFmtId="0" fontId="2" fillId="6" borderId="10" xfId="0" applyFont="1" applyFill="1" applyBorder="1" applyAlignment="1">
      <alignment horizontal="center" vertical="center" wrapText="1"/>
    </xf>
    <xf numFmtId="0" fontId="2" fillId="6" borderId="19"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3" fillId="11" borderId="40" xfId="0" applyFont="1" applyFill="1" applyBorder="1" applyAlignment="1">
      <alignment horizontal="left" wrapText="1"/>
    </xf>
    <xf numFmtId="0" fontId="3" fillId="11" borderId="41" xfId="0" applyFont="1" applyFill="1" applyBorder="1" applyAlignment="1">
      <alignment horizontal="left" wrapText="1"/>
    </xf>
    <xf numFmtId="0" fontId="5" fillId="11" borderId="0" xfId="0" applyFont="1" applyFill="1" applyAlignment="1">
      <alignment horizontal="left" wrapText="1"/>
    </xf>
    <xf numFmtId="0" fontId="1" fillId="11" borderId="0" xfId="0" applyFont="1" applyFill="1" applyAlignment="1">
      <alignment horizontal="left" wrapText="1"/>
    </xf>
    <xf numFmtId="0" fontId="2" fillId="5" borderId="3"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13" fillId="11" borderId="0" xfId="0" applyFont="1" applyFill="1" applyAlignment="1">
      <alignment horizontal="left" vertical="top" wrapText="1"/>
    </xf>
    <xf numFmtId="0" fontId="2" fillId="16" borderId="68" xfId="0" applyFont="1" applyFill="1" applyBorder="1" applyAlignment="1">
      <alignment horizontal="center" vertical="center" wrapText="1"/>
    </xf>
    <xf numFmtId="0" fontId="2" fillId="16" borderId="57" xfId="0" applyFont="1" applyFill="1" applyBorder="1" applyAlignment="1">
      <alignment horizontal="center" vertical="center" wrapText="1"/>
    </xf>
    <xf numFmtId="0" fontId="2" fillId="16" borderId="73" xfId="0" applyFont="1" applyFill="1" applyBorder="1" applyAlignment="1">
      <alignment horizontal="center" vertical="center" wrapText="1"/>
    </xf>
    <xf numFmtId="0" fontId="2" fillId="16" borderId="66" xfId="0" applyFont="1" applyFill="1" applyBorder="1" applyAlignment="1">
      <alignment horizontal="center" vertical="center" wrapText="1"/>
    </xf>
    <xf numFmtId="0" fontId="2" fillId="16" borderId="56" xfId="0" applyFont="1" applyFill="1" applyBorder="1" applyAlignment="1">
      <alignment horizontal="center" vertical="center" wrapText="1"/>
    </xf>
    <xf numFmtId="0" fontId="2" fillId="16" borderId="72" xfId="0" applyFont="1" applyFill="1" applyBorder="1" applyAlignment="1">
      <alignment horizontal="center" vertical="center" wrapText="1"/>
    </xf>
    <xf numFmtId="0" fontId="3" fillId="16" borderId="21" xfId="0" applyFont="1" applyFill="1" applyBorder="1" applyAlignment="1">
      <alignment horizontal="center" vertical="center"/>
    </xf>
    <xf numFmtId="0" fontId="3" fillId="16" borderId="22" xfId="0" applyFont="1" applyFill="1" applyBorder="1" applyAlignment="1">
      <alignment horizontal="center" vertical="center"/>
    </xf>
    <xf numFmtId="0" fontId="3" fillId="16" borderId="23" xfId="0" applyFont="1" applyFill="1" applyBorder="1" applyAlignment="1">
      <alignment horizontal="center" vertical="center"/>
    </xf>
    <xf numFmtId="0" fontId="16" fillId="11" borderId="0" xfId="0" applyFont="1" applyFill="1" applyAlignment="1">
      <alignment horizontal="left" vertical="top" wrapText="1"/>
    </xf>
    <xf numFmtId="0" fontId="2" fillId="4" borderId="32" xfId="0" applyFont="1" applyFill="1" applyBorder="1" applyAlignment="1">
      <alignment horizontal="center" vertical="center" wrapText="1"/>
    </xf>
    <xf numFmtId="0" fontId="2" fillId="4" borderId="57" xfId="0" applyFont="1" applyFill="1" applyBorder="1" applyAlignment="1">
      <alignment horizontal="center" vertical="center" wrapText="1"/>
    </xf>
    <xf numFmtId="0" fontId="2" fillId="4" borderId="25" xfId="0" applyFont="1" applyFill="1" applyBorder="1" applyAlignment="1">
      <alignment horizontal="center" vertical="center" wrapText="1"/>
    </xf>
    <xf numFmtId="0" fontId="2" fillId="14" borderId="61" xfId="0" applyFont="1" applyFill="1" applyBorder="1" applyAlignment="1">
      <alignment horizontal="center" vertical="center" wrapText="1"/>
    </xf>
    <xf numFmtId="0" fontId="2" fillId="14" borderId="62" xfId="0" applyFont="1" applyFill="1" applyBorder="1" applyAlignment="1">
      <alignment horizontal="center" vertical="center" wrapText="1"/>
    </xf>
    <xf numFmtId="0" fontId="2" fillId="14" borderId="63"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26" xfId="0" applyFont="1" applyFill="1" applyBorder="1" applyAlignment="1">
      <alignment horizontal="center" vertical="center"/>
    </xf>
    <xf numFmtId="0" fontId="2" fillId="2" borderId="1" xfId="0" applyFont="1" applyFill="1" applyBorder="1" applyAlignment="1">
      <alignment horizontal="center" vertical="center"/>
    </xf>
    <xf numFmtId="0" fontId="16" fillId="11" borderId="0" xfId="0" applyFont="1" applyFill="1" applyAlignment="1">
      <alignment horizontal="left" vertical="center" wrapText="1"/>
    </xf>
    <xf numFmtId="0" fontId="2" fillId="9" borderId="41" xfId="0" applyFont="1" applyFill="1" applyBorder="1" applyAlignment="1">
      <alignment horizontal="center" wrapText="1"/>
    </xf>
    <xf numFmtId="0" fontId="2" fillId="9" borderId="42" xfId="0" applyFont="1" applyFill="1" applyBorder="1" applyAlignment="1">
      <alignment horizontal="center" wrapText="1"/>
    </xf>
    <xf numFmtId="0" fontId="2" fillId="16" borderId="65" xfId="0" applyFont="1" applyFill="1" applyBorder="1" applyAlignment="1">
      <alignment horizontal="center"/>
    </xf>
    <xf numFmtId="0" fontId="15" fillId="16" borderId="11" xfId="0" applyFont="1" applyFill="1" applyBorder="1" applyAlignment="1">
      <alignment horizontal="center" vertical="top"/>
    </xf>
    <xf numFmtId="0" fontId="3" fillId="12" borderId="40" xfId="0" applyFont="1" applyFill="1" applyBorder="1" applyAlignment="1">
      <alignment horizontal="center" vertical="center"/>
    </xf>
    <xf numFmtId="0" fontId="3" fillId="12" borderId="41" xfId="0" applyFont="1" applyFill="1" applyBorder="1" applyAlignment="1">
      <alignment horizontal="center" vertical="center"/>
    </xf>
    <xf numFmtId="0" fontId="3" fillId="12" borderId="33" xfId="0" applyFont="1" applyFill="1" applyBorder="1" applyAlignment="1">
      <alignment horizontal="center" vertical="center"/>
    </xf>
    <xf numFmtId="0" fontId="3" fillId="12" borderId="13" xfId="0" applyFont="1" applyFill="1" applyBorder="1" applyAlignment="1">
      <alignment horizontal="center" vertical="center"/>
    </xf>
    <xf numFmtId="0" fontId="15" fillId="9" borderId="13" xfId="0" applyFont="1" applyFill="1" applyBorder="1" applyAlignment="1">
      <alignment horizontal="center" vertical="top" wrapText="1"/>
    </xf>
    <xf numFmtId="0" fontId="15" fillId="9" borderId="34" xfId="0" applyFont="1" applyFill="1" applyBorder="1" applyAlignment="1">
      <alignment horizontal="center" vertical="top" wrapText="1"/>
    </xf>
    <xf numFmtId="0" fontId="2" fillId="10" borderId="59" xfId="0" applyFont="1" applyFill="1" applyBorder="1" applyAlignment="1">
      <alignment horizontal="center"/>
    </xf>
    <xf numFmtId="0" fontId="2" fillId="10" borderId="41" xfId="0" applyFont="1" applyFill="1" applyBorder="1" applyAlignment="1">
      <alignment horizontal="center"/>
    </xf>
    <xf numFmtId="0" fontId="2" fillId="10" borderId="42" xfId="0" applyFont="1" applyFill="1" applyBorder="1" applyAlignment="1">
      <alignment horizontal="center"/>
    </xf>
    <xf numFmtId="0" fontId="2" fillId="4" borderId="31" xfId="0" applyFont="1" applyFill="1" applyBorder="1" applyAlignment="1">
      <alignment horizontal="center" vertical="center" wrapText="1"/>
    </xf>
    <xf numFmtId="0" fontId="2" fillId="4" borderId="56" xfId="0" applyFont="1" applyFill="1" applyBorder="1" applyAlignment="1">
      <alignment horizontal="center" vertical="center" wrapText="1"/>
    </xf>
    <xf numFmtId="0" fontId="2" fillId="4" borderId="24"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2" fillId="4" borderId="11" xfId="0" applyFont="1" applyFill="1" applyBorder="1" applyAlignment="1">
      <alignment horizontal="center" vertical="center" wrapText="1"/>
    </xf>
    <xf numFmtId="164" fontId="15" fillId="3" borderId="19" xfId="3" applyFont="1" applyFill="1" applyBorder="1" applyAlignment="1">
      <alignment horizontal="center" vertical="top" wrapText="1"/>
    </xf>
    <xf numFmtId="164" fontId="15" fillId="3" borderId="11" xfId="3" applyFont="1" applyFill="1" applyBorder="1" applyAlignment="1">
      <alignment horizontal="center" vertical="top" wrapText="1"/>
    </xf>
    <xf numFmtId="164" fontId="15" fillId="3" borderId="19" xfId="3" applyFont="1" applyFill="1" applyBorder="1" applyAlignment="1">
      <alignment horizontal="center" vertical="center" wrapText="1"/>
    </xf>
    <xf numFmtId="164" fontId="15" fillId="3" borderId="11" xfId="3" applyFont="1" applyFill="1" applyBorder="1" applyAlignment="1">
      <alignment horizontal="center" vertical="center" wrapText="1"/>
    </xf>
    <xf numFmtId="164" fontId="2" fillId="3" borderId="14" xfId="3" applyFont="1" applyFill="1" applyBorder="1" applyAlignment="1">
      <alignment horizontal="center" vertical="center" wrapText="1"/>
    </xf>
    <xf numFmtId="164" fontId="2" fillId="3" borderId="15" xfId="3" applyFont="1" applyFill="1" applyBorder="1" applyAlignment="1">
      <alignment horizontal="center" vertical="center" wrapText="1"/>
    </xf>
    <xf numFmtId="164" fontId="2" fillId="3" borderId="16" xfId="3" applyFont="1" applyFill="1" applyBorder="1" applyAlignment="1">
      <alignment horizontal="center" vertical="center" wrapText="1"/>
    </xf>
    <xf numFmtId="164" fontId="2" fillId="3" borderId="17" xfId="3" applyFont="1" applyFill="1" applyBorder="1" applyAlignment="1">
      <alignment horizontal="center" vertical="center" wrapText="1"/>
    </xf>
    <xf numFmtId="164" fontId="2" fillId="3" borderId="13" xfId="3" applyFont="1" applyFill="1" applyBorder="1" applyAlignment="1">
      <alignment horizontal="center" vertical="center" wrapText="1"/>
    </xf>
    <xf numFmtId="164" fontId="2" fillId="3" borderId="20" xfId="3" applyFont="1" applyFill="1" applyBorder="1" applyAlignment="1">
      <alignment horizontal="center" vertical="center" wrapText="1"/>
    </xf>
    <xf numFmtId="0" fontId="3" fillId="11" borderId="0" xfId="0" applyFont="1" applyFill="1" applyAlignment="1">
      <alignment horizontal="left" vertical="top" wrapText="1"/>
    </xf>
    <xf numFmtId="0" fontId="3" fillId="11" borderId="0" xfId="0" applyFont="1" applyFill="1" applyAlignment="1">
      <alignment horizontal="left" vertical="top"/>
    </xf>
    <xf numFmtId="0" fontId="2" fillId="4" borderId="2"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8" borderId="40" xfId="0" applyFont="1" applyFill="1" applyBorder="1" applyAlignment="1">
      <alignment horizontal="center" vertical="center"/>
    </xf>
    <xf numFmtId="0" fontId="2" fillId="8" borderId="41" xfId="0" applyFont="1" applyFill="1" applyBorder="1" applyAlignment="1">
      <alignment horizontal="center" vertical="center"/>
    </xf>
    <xf numFmtId="0" fontId="2" fillId="8" borderId="60" xfId="0" applyFont="1" applyFill="1" applyBorder="1" applyAlignment="1">
      <alignment horizontal="center" vertical="center"/>
    </xf>
    <xf numFmtId="0" fontId="2" fillId="8" borderId="33" xfId="0" applyFont="1" applyFill="1" applyBorder="1" applyAlignment="1">
      <alignment horizontal="center" vertical="center"/>
    </xf>
    <xf numFmtId="0" fontId="2" fillId="8" borderId="13" xfId="0" applyFont="1" applyFill="1" applyBorder="1" applyAlignment="1">
      <alignment horizontal="center" vertical="center"/>
    </xf>
    <xf numFmtId="0" fontId="2" fillId="8" borderId="20" xfId="0" applyFont="1" applyFill="1" applyBorder="1" applyAlignment="1">
      <alignment horizontal="center" vertical="center"/>
    </xf>
    <xf numFmtId="0" fontId="2" fillId="6" borderId="59"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17" xfId="0" applyFont="1" applyFill="1" applyBorder="1" applyAlignment="1">
      <alignment horizontal="center" vertical="center"/>
    </xf>
    <xf numFmtId="0" fontId="2" fillId="6" borderId="20" xfId="0" applyFont="1" applyFill="1" applyBorder="1" applyAlignment="1">
      <alignment horizontal="center" vertical="center"/>
    </xf>
    <xf numFmtId="0" fontId="2" fillId="13" borderId="59" xfId="0" applyFont="1" applyFill="1" applyBorder="1" applyAlignment="1">
      <alignment horizontal="center" vertical="center"/>
    </xf>
    <xf numFmtId="0" fontId="2" fillId="13" borderId="41" xfId="0" applyFont="1" applyFill="1" applyBorder="1" applyAlignment="1">
      <alignment horizontal="center" vertical="center"/>
    </xf>
    <xf numFmtId="0" fontId="2" fillId="13" borderId="60" xfId="0" applyFont="1" applyFill="1" applyBorder="1" applyAlignment="1">
      <alignment horizontal="center" vertical="center"/>
    </xf>
    <xf numFmtId="0" fontId="2" fillId="13" borderId="17" xfId="0" applyFont="1" applyFill="1" applyBorder="1" applyAlignment="1">
      <alignment horizontal="center" vertical="center"/>
    </xf>
    <xf numFmtId="0" fontId="2" fillId="13" borderId="13" xfId="0" applyFont="1" applyFill="1" applyBorder="1" applyAlignment="1">
      <alignment horizontal="center" vertical="center"/>
    </xf>
    <xf numFmtId="0" fontId="2" fillId="13" borderId="20" xfId="0" applyFont="1" applyFill="1" applyBorder="1" applyAlignment="1">
      <alignment horizontal="center" vertical="center"/>
    </xf>
    <xf numFmtId="0" fontId="15" fillId="10" borderId="17" xfId="0" applyFont="1" applyFill="1" applyBorder="1" applyAlignment="1">
      <alignment horizontal="center" vertical="top"/>
    </xf>
    <xf numFmtId="0" fontId="15" fillId="10" borderId="13" xfId="0" applyFont="1" applyFill="1" applyBorder="1" applyAlignment="1">
      <alignment horizontal="center" vertical="top"/>
    </xf>
    <xf numFmtId="0" fontId="15" fillId="10" borderId="34" xfId="0" applyFont="1" applyFill="1" applyBorder="1" applyAlignment="1">
      <alignment horizontal="center" vertical="top"/>
    </xf>
    <xf numFmtId="0" fontId="2" fillId="5" borderId="10"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4" borderId="14"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4" borderId="20" xfId="0" applyFont="1" applyFill="1" applyBorder="1" applyAlignment="1">
      <alignment horizontal="center" vertical="center" wrapText="1"/>
    </xf>
    <xf numFmtId="0" fontId="2" fillId="3" borderId="32" xfId="0" applyFont="1" applyFill="1" applyBorder="1" applyAlignment="1">
      <alignment horizontal="center" vertical="center" wrapText="1"/>
    </xf>
    <xf numFmtId="0" fontId="2" fillId="3" borderId="57" xfId="0" applyFont="1" applyFill="1" applyBorder="1" applyAlignment="1">
      <alignment horizontal="center" vertical="center" wrapText="1"/>
    </xf>
    <xf numFmtId="0" fontId="2" fillId="3" borderId="25" xfId="0" applyFont="1" applyFill="1" applyBorder="1" applyAlignment="1">
      <alignment horizontal="center" vertical="center" wrapText="1"/>
    </xf>
    <xf numFmtId="0" fontId="2" fillId="10" borderId="2" xfId="0" applyFont="1" applyFill="1" applyBorder="1" applyAlignment="1">
      <alignment horizontal="center" vertical="center"/>
    </xf>
    <xf numFmtId="0" fontId="2" fillId="10" borderId="4" xfId="0" applyFont="1" applyFill="1" applyBorder="1" applyAlignment="1">
      <alignment horizontal="center" vertical="center"/>
    </xf>
    <xf numFmtId="0" fontId="2" fillId="10" borderId="3" xfId="0" applyFont="1" applyFill="1" applyBorder="1" applyAlignment="1">
      <alignment horizontal="center" vertical="center"/>
    </xf>
    <xf numFmtId="0" fontId="2" fillId="16" borderId="1" xfId="0" applyFont="1" applyFill="1" applyBorder="1" applyAlignment="1">
      <alignment horizontal="center" vertical="center"/>
    </xf>
    <xf numFmtId="0" fontId="2" fillId="15" borderId="1" xfId="0" applyFont="1" applyFill="1" applyBorder="1" applyAlignment="1">
      <alignment horizontal="center" vertical="center"/>
    </xf>
    <xf numFmtId="0" fontId="2" fillId="8"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13" fillId="11" borderId="0" xfId="0" applyFont="1" applyFill="1" applyAlignment="1">
      <alignment horizontal="left" vertical="center" wrapText="1"/>
    </xf>
    <xf numFmtId="0" fontId="2" fillId="17" borderId="1" xfId="0" applyFont="1" applyFill="1" applyBorder="1" applyAlignment="1">
      <alignment horizontal="center" vertical="center"/>
    </xf>
    <xf numFmtId="0" fontId="1" fillId="12" borderId="5" xfId="0" applyFont="1" applyFill="1" applyBorder="1" applyAlignment="1">
      <alignment horizontal="center" wrapText="1"/>
    </xf>
    <xf numFmtId="0" fontId="1" fillId="12" borderId="6" xfId="0" applyFont="1" applyFill="1" applyBorder="1" applyAlignment="1">
      <alignment horizontal="center" wrapText="1"/>
    </xf>
    <xf numFmtId="0" fontId="1" fillId="12" borderId="7" xfId="0" applyFont="1" applyFill="1" applyBorder="1" applyAlignment="1">
      <alignment horizontal="center" wrapText="1"/>
    </xf>
    <xf numFmtId="0" fontId="1" fillId="11" borderId="0" xfId="0" applyFont="1" applyFill="1" applyBorder="1" applyAlignment="1">
      <alignment horizontal="left" wrapText="1"/>
    </xf>
    <xf numFmtId="0" fontId="1" fillId="11" borderId="0" xfId="0" applyFont="1" applyFill="1" applyAlignment="1">
      <alignment horizontal="left" vertical="center" wrapText="1"/>
    </xf>
    <xf numFmtId="0" fontId="1" fillId="11" borderId="0" xfId="0" applyFont="1" applyFill="1" applyAlignment="1">
      <alignment horizontal="left" vertical="top" wrapText="1"/>
    </xf>
    <xf numFmtId="0" fontId="2" fillId="16" borderId="21" xfId="0" applyFont="1" applyFill="1" applyBorder="1" applyAlignment="1">
      <alignment horizontal="center" vertical="center"/>
    </xf>
    <xf numFmtId="0" fontId="2" fillId="16" borderId="22" xfId="0" applyFont="1" applyFill="1" applyBorder="1" applyAlignment="1">
      <alignment horizontal="center" vertical="center"/>
    </xf>
    <xf numFmtId="0" fontId="2" fillId="16" borderId="23" xfId="0" applyFont="1" applyFill="1" applyBorder="1" applyAlignment="1">
      <alignment horizontal="center" vertical="center"/>
    </xf>
    <xf numFmtId="0" fontId="2" fillId="26" borderId="5" xfId="0" applyFont="1" applyFill="1" applyBorder="1" applyAlignment="1">
      <alignment horizontal="center" vertical="center"/>
    </xf>
    <xf numFmtId="0" fontId="2" fillId="26" borderId="6" xfId="0" applyFont="1" applyFill="1" applyBorder="1" applyAlignment="1">
      <alignment horizontal="center" vertical="center"/>
    </xf>
    <xf numFmtId="0" fontId="2" fillId="26" borderId="7" xfId="0" applyFont="1" applyFill="1" applyBorder="1" applyAlignment="1">
      <alignment horizontal="center" vertical="center"/>
    </xf>
    <xf numFmtId="0" fontId="3" fillId="23" borderId="21"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23" xfId="0" applyFont="1" applyFill="1" applyBorder="1" applyAlignment="1">
      <alignment horizontal="center" vertical="center"/>
    </xf>
    <xf numFmtId="0" fontId="2" fillId="9" borderId="61" xfId="0" applyFont="1" applyFill="1" applyBorder="1" applyAlignment="1">
      <alignment horizontal="center" vertical="center" wrapText="1"/>
    </xf>
    <xf numFmtId="0" fontId="2" fillId="9" borderId="79" xfId="0" applyFont="1" applyFill="1" applyBorder="1" applyAlignment="1">
      <alignment horizontal="center" vertical="center" wrapText="1"/>
    </xf>
    <xf numFmtId="0" fontId="1" fillId="11" borderId="0" xfId="0" applyFont="1" applyFill="1" applyBorder="1" applyAlignment="1">
      <alignment horizontal="left" vertical="center" wrapText="1"/>
    </xf>
    <xf numFmtId="0" fontId="13" fillId="11" borderId="0" xfId="0" applyFont="1" applyFill="1" applyAlignment="1">
      <alignment horizontal="left" vertical="center"/>
    </xf>
    <xf numFmtId="0" fontId="3" fillId="8" borderId="21" xfId="0" applyFont="1" applyFill="1" applyBorder="1" applyAlignment="1">
      <alignment horizontal="center"/>
    </xf>
    <xf numFmtId="0" fontId="3" fillId="8" borderId="22" xfId="0" applyFont="1" applyFill="1" applyBorder="1" applyAlignment="1">
      <alignment horizontal="center"/>
    </xf>
    <xf numFmtId="0" fontId="3" fillId="8" borderId="64" xfId="0" applyFont="1" applyFill="1" applyBorder="1" applyAlignment="1">
      <alignment horizontal="center"/>
    </xf>
    <xf numFmtId="0" fontId="2" fillId="6" borderId="54" xfId="0" applyFont="1" applyFill="1" applyBorder="1" applyAlignment="1">
      <alignment horizontal="center"/>
    </xf>
    <xf numFmtId="0" fontId="2" fillId="10" borderId="69" xfId="0" applyFont="1" applyFill="1" applyBorder="1" applyAlignment="1">
      <alignment horizontal="center"/>
    </xf>
    <xf numFmtId="0" fontId="2" fillId="10" borderId="22" xfId="0" applyFont="1" applyFill="1" applyBorder="1" applyAlignment="1">
      <alignment horizontal="center"/>
    </xf>
    <xf numFmtId="0" fontId="2" fillId="10" borderId="64" xfId="0" applyFont="1" applyFill="1" applyBorder="1" applyAlignment="1">
      <alignment horizontal="center"/>
    </xf>
    <xf numFmtId="0" fontId="3" fillId="16" borderId="1" xfId="0" applyFont="1" applyFill="1" applyBorder="1" applyAlignment="1">
      <alignment horizontal="center" vertical="center"/>
    </xf>
    <xf numFmtId="0" fontId="2" fillId="12" borderId="1" xfId="0" applyFont="1" applyFill="1" applyBorder="1" applyAlignment="1">
      <alignment horizontal="center" vertical="center"/>
    </xf>
    <xf numFmtId="0" fontId="2" fillId="8" borderId="1" xfId="0" applyFont="1" applyFill="1" applyBorder="1" applyAlignment="1">
      <alignment horizontal="center" vertical="center" wrapText="1"/>
    </xf>
    <xf numFmtId="0" fontId="3" fillId="9" borderId="1" xfId="0" applyFont="1" applyFill="1" applyBorder="1" applyAlignment="1">
      <alignment horizontal="center" vertical="center"/>
    </xf>
    <xf numFmtId="0" fontId="2" fillId="12" borderId="40" xfId="0" applyFont="1" applyFill="1" applyBorder="1" applyAlignment="1">
      <alignment horizontal="center"/>
    </xf>
    <xf numFmtId="0" fontId="2" fillId="12" borderId="41" xfId="0" applyFont="1" applyFill="1" applyBorder="1" applyAlignment="1">
      <alignment horizontal="center"/>
    </xf>
    <xf numFmtId="0" fontId="2" fillId="12" borderId="42" xfId="0" applyFont="1" applyFill="1" applyBorder="1" applyAlignment="1">
      <alignment horizontal="center"/>
    </xf>
    <xf numFmtId="0" fontId="13" fillId="9" borderId="21" xfId="0" applyFont="1" applyFill="1" applyBorder="1" applyAlignment="1">
      <alignment horizontal="center" vertical="center"/>
    </xf>
    <xf numFmtId="0" fontId="13" fillId="9" borderId="22" xfId="0" applyFont="1" applyFill="1" applyBorder="1" applyAlignment="1">
      <alignment horizontal="center" vertical="center"/>
    </xf>
    <xf numFmtId="0" fontId="13" fillId="9" borderId="23" xfId="0" applyFont="1" applyFill="1" applyBorder="1" applyAlignment="1">
      <alignment horizontal="center" vertical="center"/>
    </xf>
    <xf numFmtId="0" fontId="2" fillId="15" borderId="5" xfId="0" applyFont="1" applyFill="1" applyBorder="1" applyAlignment="1">
      <alignment horizontal="center"/>
    </xf>
    <xf numFmtId="0" fontId="2" fillId="15" borderId="6" xfId="0" applyFont="1" applyFill="1" applyBorder="1" applyAlignment="1">
      <alignment horizontal="center"/>
    </xf>
    <xf numFmtId="0" fontId="2" fillId="15" borderId="7" xfId="0" applyFont="1" applyFill="1" applyBorder="1" applyAlignment="1">
      <alignment horizontal="center"/>
    </xf>
    <xf numFmtId="0" fontId="2" fillId="16" borderId="61" xfId="0" applyFont="1" applyFill="1" applyBorder="1" applyAlignment="1">
      <alignment horizontal="center" vertical="center" wrapText="1"/>
    </xf>
    <xf numFmtId="0" fontId="2" fillId="16" borderId="79" xfId="0" applyFont="1" applyFill="1" applyBorder="1" applyAlignment="1">
      <alignment horizontal="center" vertical="center" wrapText="1"/>
    </xf>
    <xf numFmtId="0" fontId="0" fillId="11" borderId="0" xfId="0" applyFill="1" applyBorder="1" applyAlignment="1"/>
    <xf numFmtId="0" fontId="0" fillId="0" borderId="33" xfId="0" applyBorder="1" applyAlignment="1"/>
    <xf numFmtId="0" fontId="2" fillId="10" borderId="5" xfId="0" applyFont="1" applyFill="1" applyBorder="1" applyAlignment="1">
      <alignment horizontal="left" vertical="center"/>
    </xf>
    <xf numFmtId="0" fontId="2" fillId="10" borderId="7" xfId="0" applyFont="1" applyFill="1" applyBorder="1" applyAlignment="1">
      <alignment horizontal="left" vertical="center"/>
    </xf>
    <xf numFmtId="0" fontId="0" fillId="0" borderId="0" xfId="0" applyAlignment="1"/>
    <xf numFmtId="0" fontId="0" fillId="2" borderId="0" xfId="0" applyFill="1" applyAlignment="1"/>
    <xf numFmtId="0" fontId="0" fillId="2" borderId="0" xfId="0" applyFill="1"/>
    <xf numFmtId="0" fontId="1" fillId="0" borderId="27" xfId="0" applyFont="1" applyBorder="1" applyAlignment="1">
      <alignment horizontal="right"/>
    </xf>
    <xf numFmtId="0" fontId="1" fillId="0" borderId="26" xfId="0" applyFont="1" applyBorder="1"/>
    <xf numFmtId="0" fontId="1" fillId="6" borderId="28" xfId="0" applyFont="1" applyFill="1" applyBorder="1"/>
    <xf numFmtId="0" fontId="1" fillId="6" borderId="30" xfId="0" applyFont="1" applyFill="1" applyBorder="1" applyAlignment="1">
      <alignment horizontal="right"/>
    </xf>
    <xf numFmtId="0" fontId="15" fillId="2" borderId="11" xfId="0" applyFont="1" applyFill="1" applyBorder="1" applyAlignment="1">
      <alignment horizontal="center" vertical="top" wrapText="1"/>
    </xf>
    <xf numFmtId="0" fontId="15" fillId="2" borderId="17" xfId="0" applyFont="1" applyFill="1" applyBorder="1" applyAlignment="1">
      <alignment horizontal="center" vertical="top" wrapText="1"/>
    </xf>
    <xf numFmtId="0" fontId="15" fillId="2" borderId="20" xfId="0" applyFont="1" applyFill="1" applyBorder="1" applyAlignment="1">
      <alignment horizontal="center" vertical="top" wrapText="1"/>
    </xf>
    <xf numFmtId="0" fontId="2" fillId="5" borderId="13" xfId="0" applyFont="1" applyFill="1" applyBorder="1" applyAlignment="1">
      <alignment horizontal="center" vertical="top" wrapText="1"/>
    </xf>
    <xf numFmtId="0" fontId="2" fillId="5" borderId="20" xfId="0" applyFont="1" applyFill="1" applyBorder="1" applyAlignment="1">
      <alignment horizontal="center" vertical="top" wrapText="1"/>
    </xf>
    <xf numFmtId="0" fontId="2" fillId="0" borderId="20"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3" xfId="0" applyFont="1" applyBorder="1" applyAlignment="1">
      <alignment horizontal="center" vertical="center" wrapText="1"/>
    </xf>
    <xf numFmtId="0" fontId="3" fillId="0" borderId="13" xfId="0" applyFont="1" applyBorder="1" applyAlignment="1">
      <alignment horizontal="center" vertical="center"/>
    </xf>
    <xf numFmtId="0" fontId="2" fillId="6" borderId="15"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3" fillId="4" borderId="16" xfId="0" applyFont="1" applyFill="1" applyBorder="1" applyAlignment="1">
      <alignment horizontal="center" vertical="center" wrapText="1"/>
    </xf>
    <xf numFmtId="0" fontId="2" fillId="6" borderId="0" xfId="0" applyFont="1" applyFill="1" applyAlignment="1">
      <alignment horizontal="center" vertical="center" wrapText="1"/>
    </xf>
    <xf numFmtId="0" fontId="15" fillId="4" borderId="17" xfId="0" applyFont="1" applyFill="1" applyBorder="1" applyAlignment="1">
      <alignment horizontal="center" vertical="center" wrapText="1"/>
    </xf>
    <xf numFmtId="0" fontId="15" fillId="4" borderId="13" xfId="0" applyFont="1" applyFill="1" applyBorder="1" applyAlignment="1">
      <alignment horizontal="center" vertical="center" wrapText="1"/>
    </xf>
    <xf numFmtId="0" fontId="15" fillId="4" borderId="20" xfId="0" applyFont="1" applyFill="1" applyBorder="1" applyAlignment="1">
      <alignment horizontal="center" vertical="center" wrapText="1"/>
    </xf>
    <xf numFmtId="0" fontId="2" fillId="6" borderId="13" xfId="0" applyFont="1" applyFill="1" applyBorder="1" applyAlignment="1">
      <alignment horizontal="center" vertical="center" wrapText="1"/>
    </xf>
    <xf numFmtId="0" fontId="0" fillId="7" borderId="1" xfId="0" applyFill="1" applyBorder="1" applyAlignment="1">
      <alignment vertical="center" wrapText="1"/>
    </xf>
    <xf numFmtId="0" fontId="0" fillId="0" borderId="1" xfId="0" applyBorder="1" applyAlignment="1">
      <alignment vertical="center" wrapText="1"/>
    </xf>
    <xf numFmtId="0" fontId="0" fillId="7" borderId="1" xfId="0" applyFill="1" applyBorder="1"/>
    <xf numFmtId="0" fontId="0" fillId="0" borderId="1" xfId="0" applyBorder="1" applyAlignment="1">
      <alignment horizontal="left" vertical="top" wrapText="1"/>
    </xf>
    <xf numFmtId="0" fontId="0" fillId="0" borderId="1" xfId="0" applyBorder="1" applyAlignment="1">
      <alignment horizontal="left" vertical="center" wrapText="1"/>
    </xf>
    <xf numFmtId="0" fontId="7"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3" fillId="11" borderId="0" xfId="0" applyFont="1" applyFill="1" applyAlignment="1">
      <alignment horizontal="center" vertical="center"/>
    </xf>
    <xf numFmtId="0" fontId="0" fillId="0" borderId="8" xfId="0" applyBorder="1" applyAlignment="1">
      <alignment horizontal="left" vertical="center" wrapText="1"/>
    </xf>
    <xf numFmtId="0" fontId="0" fillId="0" borderId="9" xfId="0" applyBorder="1" applyAlignment="1">
      <alignment horizontal="left" vertical="center" wrapText="1"/>
    </xf>
    <xf numFmtId="1" fontId="0" fillId="0" borderId="3" xfId="0" applyNumberFormat="1" applyBorder="1" applyAlignment="1">
      <alignment horizontal="center"/>
    </xf>
    <xf numFmtId="1" fontId="0" fillId="0" borderId="58" xfId="0" applyNumberFormat="1" applyBorder="1" applyAlignment="1">
      <alignment horizontal="center"/>
    </xf>
    <xf numFmtId="1" fontId="0" fillId="0" borderId="2" xfId="0" applyNumberFormat="1" applyBorder="1" applyAlignment="1">
      <alignment horizontal="center"/>
    </xf>
    <xf numFmtId="1" fontId="0" fillId="0" borderId="47" xfId="0" applyNumberFormat="1" applyBorder="1" applyAlignment="1">
      <alignment horizontal="center"/>
    </xf>
    <xf numFmtId="0" fontId="3" fillId="16" borderId="0" xfId="0" applyFont="1" applyFill="1" applyBorder="1" applyAlignment="1">
      <alignment horizontal="center" vertical="center"/>
    </xf>
    <xf numFmtId="0" fontId="3" fillId="20" borderId="0" xfId="0" applyFont="1" applyFill="1" applyBorder="1" applyAlignment="1">
      <alignment horizontal="center" vertical="center"/>
    </xf>
    <xf numFmtId="0" fontId="2" fillId="15" borderId="43" xfId="0" applyFont="1" applyFill="1" applyBorder="1" applyAlignment="1">
      <alignment horizontal="center" vertical="center" wrapText="1"/>
    </xf>
    <xf numFmtId="0" fontId="3" fillId="15" borderId="42" xfId="0" applyFont="1" applyFill="1" applyBorder="1" applyAlignment="1">
      <alignment horizontal="center" vertical="center"/>
    </xf>
    <xf numFmtId="1" fontId="0" fillId="0" borderId="11" xfId="0" applyNumberFormat="1" applyBorder="1" applyAlignment="1">
      <alignment horizontal="center"/>
    </xf>
    <xf numFmtId="0" fontId="2" fillId="15" borderId="40" xfId="0" applyFont="1" applyFill="1" applyBorder="1" applyAlignment="1">
      <alignment horizontal="center" vertical="center" wrapText="1"/>
    </xf>
    <xf numFmtId="0" fontId="2" fillId="15" borderId="42" xfId="0" applyFont="1" applyFill="1" applyBorder="1" applyAlignment="1">
      <alignment horizontal="center" vertical="center" wrapText="1"/>
    </xf>
    <xf numFmtId="0" fontId="2" fillId="3" borderId="30" xfId="0" applyFont="1" applyFill="1" applyBorder="1" applyAlignment="1">
      <alignment horizontal="center" vertical="center" wrapText="1"/>
    </xf>
    <xf numFmtId="0" fontId="2" fillId="3" borderId="72" xfId="0" applyFont="1" applyFill="1" applyBorder="1" applyAlignment="1">
      <alignment horizontal="center" vertical="center" wrapText="1"/>
    </xf>
    <xf numFmtId="0" fontId="2" fillId="3" borderId="70" xfId="0" applyFont="1" applyFill="1" applyBorder="1" applyAlignment="1">
      <alignment horizontal="center" vertical="center" wrapText="1"/>
    </xf>
    <xf numFmtId="0" fontId="2" fillId="4" borderId="72" xfId="0" applyFont="1" applyFill="1" applyBorder="1" applyAlignment="1">
      <alignment horizontal="center" vertical="center" wrapText="1"/>
    </xf>
    <xf numFmtId="0" fontId="2" fillId="4" borderId="70" xfId="0" applyFont="1" applyFill="1" applyBorder="1" applyAlignment="1">
      <alignment horizontal="center" vertical="center" wrapText="1"/>
    </xf>
    <xf numFmtId="0" fontId="2" fillId="18" borderId="30" xfId="0" applyFont="1" applyFill="1" applyBorder="1" applyAlignment="1">
      <alignment horizontal="center" vertical="center" wrapText="1"/>
    </xf>
    <xf numFmtId="0" fontId="2" fillId="18" borderId="72" xfId="0" applyFont="1" applyFill="1" applyBorder="1" applyAlignment="1">
      <alignment horizontal="center" vertical="center" wrapText="1"/>
    </xf>
    <xf numFmtId="0" fontId="2" fillId="18" borderId="70" xfId="0" applyFont="1" applyFill="1" applyBorder="1" applyAlignment="1">
      <alignment horizontal="center" vertical="center" wrapText="1"/>
    </xf>
    <xf numFmtId="0" fontId="2" fillId="15" borderId="8" xfId="0" applyFont="1" applyFill="1" applyBorder="1" applyAlignment="1">
      <alignment horizontal="center" vertical="center" wrapText="1"/>
    </xf>
    <xf numFmtId="0" fontId="2" fillId="15" borderId="71" xfId="0" applyFont="1" applyFill="1" applyBorder="1" applyAlignment="1">
      <alignment horizontal="center" vertical="center" wrapText="1"/>
    </xf>
    <xf numFmtId="0" fontId="0" fillId="15" borderId="43" xfId="0" applyFill="1" applyBorder="1" applyAlignment="1">
      <alignment horizontal="center"/>
    </xf>
    <xf numFmtId="0" fontId="0" fillId="15" borderId="74" xfId="0" applyFill="1" applyBorder="1" applyAlignment="1">
      <alignment horizontal="center"/>
    </xf>
    <xf numFmtId="0" fontId="2" fillId="10" borderId="13" xfId="0" applyFont="1" applyFill="1" applyBorder="1" applyAlignment="1">
      <alignment horizontal="center" vertical="center" wrapText="1"/>
    </xf>
    <xf numFmtId="0" fontId="2" fillId="3" borderId="58" xfId="0" applyFont="1" applyFill="1" applyBorder="1" applyAlignment="1">
      <alignment horizontal="center" vertical="center" wrapText="1"/>
    </xf>
    <xf numFmtId="1" fontId="0" fillId="0" borderId="20" xfId="0" applyNumberFormat="1" applyBorder="1" applyAlignment="1">
      <alignment horizontal="center"/>
    </xf>
    <xf numFmtId="0" fontId="2" fillId="12" borderId="61" xfId="0" applyFont="1" applyFill="1" applyBorder="1" applyAlignment="1">
      <alignment horizontal="center" vertical="center" wrapText="1"/>
    </xf>
    <xf numFmtId="0" fontId="2" fillId="12" borderId="79" xfId="0" applyFont="1" applyFill="1" applyBorder="1" applyAlignment="1">
      <alignment horizontal="center" vertical="center" wrapText="1"/>
    </xf>
    <xf numFmtId="1" fontId="0" fillId="12" borderId="63" xfId="0" applyNumberFormat="1" applyFill="1" applyBorder="1" applyAlignment="1">
      <alignment horizontal="center"/>
    </xf>
    <xf numFmtId="1" fontId="0" fillId="12" borderId="51" xfId="0" applyNumberFormat="1" applyFill="1" applyBorder="1" applyAlignment="1">
      <alignment horizontal="center"/>
    </xf>
    <xf numFmtId="1" fontId="0" fillId="12" borderId="52" xfId="0" applyNumberFormat="1" applyFill="1" applyBorder="1" applyAlignment="1">
      <alignment horizontal="center"/>
    </xf>
    <xf numFmtId="0" fontId="2" fillId="3" borderId="78" xfId="0" applyFont="1" applyFill="1" applyBorder="1" applyAlignment="1">
      <alignment horizontal="center" vertical="center" wrapText="1"/>
    </xf>
    <xf numFmtId="1" fontId="0" fillId="0" borderId="17" xfId="0" applyNumberFormat="1" applyBorder="1" applyAlignment="1">
      <alignment horizontal="center"/>
    </xf>
    <xf numFmtId="0" fontId="2" fillId="4" borderId="58" xfId="0" applyFont="1" applyFill="1" applyBorder="1" applyAlignment="1">
      <alignment horizontal="center" vertical="center" wrapText="1"/>
    </xf>
    <xf numFmtId="1" fontId="0" fillId="9" borderId="63" xfId="0" applyNumberFormat="1" applyFill="1" applyBorder="1" applyAlignment="1">
      <alignment horizontal="center"/>
    </xf>
    <xf numFmtId="1" fontId="0" fillId="9" borderId="51" xfId="0" applyNumberFormat="1" applyFill="1" applyBorder="1" applyAlignment="1">
      <alignment horizontal="center"/>
    </xf>
    <xf numFmtId="1" fontId="0" fillId="9" borderId="52" xfId="0" applyNumberFormat="1" applyFill="1" applyBorder="1" applyAlignment="1">
      <alignment horizontal="center"/>
    </xf>
    <xf numFmtId="0" fontId="2" fillId="4" borderId="78" xfId="0" applyFont="1" applyFill="1" applyBorder="1" applyAlignment="1">
      <alignment horizontal="center" vertical="center" wrapText="1"/>
    </xf>
    <xf numFmtId="0" fontId="2" fillId="18" borderId="58" xfId="0" applyFont="1" applyFill="1" applyBorder="1" applyAlignment="1">
      <alignment horizontal="center" vertical="center" wrapText="1"/>
    </xf>
    <xf numFmtId="0" fontId="2" fillId="19" borderId="61" xfId="0" applyFont="1" applyFill="1" applyBorder="1" applyAlignment="1">
      <alignment horizontal="center" vertical="center" wrapText="1"/>
    </xf>
    <xf numFmtId="0" fontId="2" fillId="19" borderId="79" xfId="0" applyFont="1" applyFill="1" applyBorder="1" applyAlignment="1">
      <alignment horizontal="center" vertical="center" wrapText="1"/>
    </xf>
    <xf numFmtId="1" fontId="0" fillId="19" borderId="63" xfId="0" applyNumberFormat="1" applyFill="1" applyBorder="1" applyAlignment="1">
      <alignment horizontal="center"/>
    </xf>
    <xf numFmtId="1" fontId="0" fillId="19" borderId="51" xfId="0" applyNumberFormat="1" applyFill="1" applyBorder="1" applyAlignment="1">
      <alignment horizontal="center"/>
    </xf>
    <xf numFmtId="1" fontId="0" fillId="19" borderId="52" xfId="0" applyNumberFormat="1" applyFill="1" applyBorder="1" applyAlignment="1">
      <alignment horizontal="center"/>
    </xf>
    <xf numFmtId="0" fontId="3" fillId="19" borderId="36" xfId="0" applyFont="1" applyFill="1" applyBorder="1" applyAlignment="1">
      <alignment horizontal="center" vertical="center"/>
    </xf>
    <xf numFmtId="0" fontId="2" fillId="18" borderId="78" xfId="0" applyFont="1" applyFill="1" applyBorder="1" applyAlignment="1">
      <alignment horizontal="center" vertical="center" wrapText="1"/>
    </xf>
    <xf numFmtId="1" fontId="0" fillId="15" borderId="24" xfId="0" applyNumberFormat="1" applyFill="1" applyBorder="1" applyAlignment="1">
      <alignment horizontal="center"/>
    </xf>
    <xf numFmtId="1" fontId="0" fillId="15" borderId="25" xfId="0" applyNumberFormat="1" applyFill="1" applyBorder="1" applyAlignment="1">
      <alignment horizontal="center"/>
    </xf>
    <xf numFmtId="1" fontId="0" fillId="15" borderId="26" xfId="0" applyNumberFormat="1" applyFill="1" applyBorder="1" applyAlignment="1">
      <alignment horizontal="center"/>
    </xf>
    <xf numFmtId="1" fontId="0" fillId="15" borderId="27" xfId="0" applyNumberFormat="1" applyFill="1" applyBorder="1" applyAlignment="1">
      <alignment horizontal="center"/>
    </xf>
    <xf numFmtId="1" fontId="0" fillId="15" borderId="28" xfId="0" applyNumberFormat="1" applyFill="1" applyBorder="1" applyAlignment="1">
      <alignment horizontal="center"/>
    </xf>
    <xf numFmtId="1" fontId="0" fillId="15" borderId="30" xfId="0" applyNumberFormat="1" applyFill="1" applyBorder="1" applyAlignment="1">
      <alignment horizontal="center"/>
    </xf>
    <xf numFmtId="0" fontId="2" fillId="5" borderId="28" xfId="0" applyFont="1" applyFill="1" applyBorder="1" applyAlignment="1">
      <alignment horizontal="center" vertical="center" wrapText="1"/>
    </xf>
    <xf numFmtId="0" fontId="2" fillId="5" borderId="29" xfId="0" applyFont="1" applyFill="1" applyBorder="1" applyAlignment="1">
      <alignment horizontal="center" vertical="center" wrapText="1"/>
    </xf>
    <xf numFmtId="0" fontId="2" fillId="21" borderId="49" xfId="0" applyFont="1" applyFill="1" applyBorder="1" applyAlignment="1">
      <alignment horizontal="center" vertical="center" wrapText="1"/>
    </xf>
    <xf numFmtId="0" fontId="2" fillId="5" borderId="47" xfId="0" applyFont="1" applyFill="1" applyBorder="1" applyAlignment="1">
      <alignment horizontal="center" vertical="center" wrapText="1"/>
    </xf>
    <xf numFmtId="0" fontId="3" fillId="14" borderId="23" xfId="0" applyFont="1" applyFill="1" applyBorder="1" applyAlignment="1">
      <alignment horizontal="center" vertical="center"/>
    </xf>
    <xf numFmtId="0" fontId="3" fillId="14" borderId="44" xfId="0" applyFont="1" applyFill="1" applyBorder="1" applyAlignment="1">
      <alignment horizontal="center" vertical="center"/>
    </xf>
    <xf numFmtId="0" fontId="3" fillId="14" borderId="49" xfId="0" applyFont="1" applyFill="1" applyBorder="1" applyAlignment="1">
      <alignment horizontal="center" vertical="center"/>
    </xf>
    <xf numFmtId="0" fontId="0" fillId="0" borderId="34" xfId="0" applyBorder="1" applyAlignment="1">
      <alignment horizontal="center"/>
    </xf>
    <xf numFmtId="0" fontId="0" fillId="0" borderId="44" xfId="0" applyBorder="1" applyAlignment="1">
      <alignment horizontal="center"/>
    </xf>
    <xf numFmtId="0" fontId="0" fillId="0" borderId="49" xfId="0" applyBorder="1" applyAlignment="1">
      <alignment horizontal="center"/>
    </xf>
    <xf numFmtId="0" fontId="2" fillId="21" borderId="52" xfId="0" applyFont="1" applyFill="1" applyBorder="1" applyAlignment="1">
      <alignment horizontal="center" vertical="center" wrapText="1"/>
    </xf>
    <xf numFmtId="1" fontId="0" fillId="0" borderId="24" xfId="0" applyNumberFormat="1" applyBorder="1" applyAlignment="1">
      <alignment horizontal="center"/>
    </xf>
    <xf numFmtId="1" fontId="0" fillId="0" borderId="25" xfId="0" applyNumberFormat="1" applyBorder="1" applyAlignment="1">
      <alignment horizontal="center"/>
    </xf>
  </cellXfs>
  <cellStyles count="5">
    <cellStyle name="Hipervínculo" xfId="4" builtinId="8"/>
    <cellStyle name="Moneda" xfId="2" builtinId="4"/>
    <cellStyle name="Moneda [0]" xfId="3" builtinId="7"/>
    <cellStyle name="Normal" xfId="0" builtinId="0"/>
    <cellStyle name="Porcentaje" xfId="1" builtinId="5"/>
  </cellStyles>
  <dxfs count="0"/>
  <tableStyles count="0" defaultTableStyle="TableStyleMedium2" defaultPivotStyle="PivotStyleLight16"/>
  <colors>
    <mruColors>
      <color rgb="FFBCB5E3"/>
      <color rgb="FFB7A8F0"/>
      <color rgb="FFAFA7DD"/>
      <color rgb="FFF4A4E5"/>
      <color rgb="FFFBD1F3"/>
      <color rgb="FFE480DF"/>
      <color rgb="FFE480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microsoft.com/office/2017/10/relationships/person" Target="persons/person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10/relationships/person" Target="persons/person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43"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Vacantes, matrícula primer año (ingresantes) y matrícula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'0. Resumen Estadístico'!$D$10</c:f>
              <c:strCache>
                <c:ptCount val="1"/>
                <c:pt idx="0">
                  <c:v>Total vacantes</c:v>
                </c:pt>
              </c:strCache>
            </c:strRef>
          </c:tx>
          <c:spPr>
            <a:pattFill prst="wdDnDiag">
              <a:fgClr>
                <a:schemeClr val="accent1">
                  <a:lumMod val="20000"/>
                  <a:lumOff val="8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Resumen Estadístico'!$C$11:$C$20</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'0. Resumen Estadístico'!$D$11:$D$20</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7E4C-4A59-A039-45C01EA96EAD}"/>
            </c:ext>
          </c:extLst>
        </c:ser>
        <c:ser>
          <c:idx val="1"/>
          <c:order val="1"/>
          <c:tx>
            <c:strRef>
              <c:f>'0. Resumen Estadístico'!$E$10</c:f>
              <c:strCache>
                <c:ptCount val="1"/>
                <c:pt idx="0">
                  <c:v>Matrícula de primer año</c:v>
                </c:pt>
              </c:strCache>
            </c:strRef>
          </c:tx>
          <c:spPr>
            <a:pattFill prst="wdUpDiag">
              <a:fgClr>
                <a:schemeClr val="accent2">
                  <a:lumMod val="20000"/>
                  <a:lumOff val="8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Resumen Estadístico'!$C$11:$C$20</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'0. Resumen Estadístico'!$E$11:$E$20</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7E4C-4A59-A039-45C01EA96EAD}"/>
            </c:ext>
          </c:extLst>
        </c:ser>
        <c:ser>
          <c:idx val="2"/>
          <c:order val="2"/>
          <c:tx>
            <c:strRef>
              <c:f>'0. Resumen Estadístico'!$F$10</c:f>
              <c:strCache>
                <c:ptCount val="1"/>
                <c:pt idx="0">
                  <c:v>Matrícula total </c:v>
                </c:pt>
              </c:strCache>
            </c:strRef>
          </c:tx>
          <c:spPr>
            <a:pattFill prst="dkHorz">
              <a:fgClr>
                <a:schemeClr val="accent6">
                  <a:lumMod val="40000"/>
                  <a:lumOff val="6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Resumen Estadístico'!$C$11:$C$20</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'0. Resumen Estadístico'!$F$11:$F$20</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7E4C-4A59-A039-45C01EA96EAD}"/>
            </c:ext>
          </c:extLst>
        </c:ser>
        <c:dLbls>
          <c:dLblPos val="outEnd"/>
          <c:showLegendKey val="0"/>
          <c:showVal val="1"/>
          <c:showCatName val="0"/>
          <c:showSerName val="0"/>
          <c:showPercent val="0"/>
          <c:showBubbleSize val="0"/>
        </c:dLbls>
        <c:gapWidth val="219"/>
        <c:overlap val="-27"/>
        <c:axId val="1577990832"/>
        <c:axId val="1508917616"/>
      </c:barChart>
      <c:catAx>
        <c:axId val="157799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crossAx val="1508917616"/>
        <c:crosses val="autoZero"/>
        <c:auto val="1"/>
        <c:lblAlgn val="ctr"/>
        <c:lblOffset val="100"/>
        <c:noMultiLvlLbl val="0"/>
      </c:catAx>
      <c:valAx>
        <c:axId val="1508917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crossAx val="1577990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Distribución matrícula de 1er año por género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bar"/>
        <c:grouping val="percentStacked"/>
        <c:varyColors val="0"/>
        <c:ser>
          <c:idx val="0"/>
          <c:order val="0"/>
          <c:tx>
            <c:strRef>
              <c:f>'0. Resumen Estadístico'!$D$25</c:f>
              <c:strCache>
                <c:ptCount val="1"/>
                <c:pt idx="0">
                  <c:v>Matrícula hombres </c:v>
                </c:pt>
              </c:strCache>
            </c:strRef>
          </c:tx>
          <c:spPr>
            <a:pattFill prst="wdDnDiag">
              <a:fgClr>
                <a:schemeClr val="accent1">
                  <a:lumMod val="20000"/>
                  <a:lumOff val="8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Resumen Estadístico'!$C$26:$C$35</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'0. Resumen Estadístico'!$D$26:$D$35</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631-422C-9027-76C2A44EFDBF}"/>
            </c:ext>
          </c:extLst>
        </c:ser>
        <c:ser>
          <c:idx val="1"/>
          <c:order val="1"/>
          <c:tx>
            <c:strRef>
              <c:f>'0. Resumen Estadístico'!$E$25</c:f>
              <c:strCache>
                <c:ptCount val="1"/>
                <c:pt idx="0">
                  <c:v>Matrícula mujeres </c:v>
                </c:pt>
              </c:strCache>
            </c:strRef>
          </c:tx>
          <c:spPr>
            <a:pattFill prst="wdUpDiag">
              <a:fgClr>
                <a:schemeClr val="accent2">
                  <a:lumMod val="20000"/>
                  <a:lumOff val="8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Resumen Estadístico'!$C$26:$C$35</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'0. Resumen Estadístico'!$E$26:$E$35</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C631-422C-9027-76C2A44EFDBF}"/>
            </c:ext>
          </c:extLst>
        </c:ser>
        <c:dLbls>
          <c:showLegendKey val="0"/>
          <c:showVal val="0"/>
          <c:showCatName val="0"/>
          <c:showSerName val="0"/>
          <c:showPercent val="0"/>
          <c:showBubbleSize val="0"/>
        </c:dLbls>
        <c:gapWidth val="203"/>
        <c:overlap val="100"/>
        <c:axId val="1344129024"/>
        <c:axId val="1578137584"/>
      </c:barChart>
      <c:catAx>
        <c:axId val="134412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crossAx val="1578137584"/>
        <c:crosses val="autoZero"/>
        <c:auto val="1"/>
        <c:lblAlgn val="ctr"/>
        <c:lblOffset val="100"/>
        <c:noMultiLvlLbl val="0"/>
      </c:catAx>
      <c:valAx>
        <c:axId val="15781375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crossAx val="1344129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Tasas de deserción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'0. Resumen Estadístico'!$D$41</c:f>
              <c:strCache>
                <c:ptCount val="1"/>
                <c:pt idx="0">
                  <c:v>Tasa de deserción al primer año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Resumen Estadístico'!$C$42:$C$59</c:f>
              <c:strCache>
                <c:ptCount val="18"/>
                <c:pt idx="0">
                  <c:v>2017-I</c:v>
                </c:pt>
                <c:pt idx="1">
                  <c:v>2017-II</c:v>
                </c:pt>
                <c:pt idx="2">
                  <c:v>2018-I</c:v>
                </c:pt>
                <c:pt idx="3">
                  <c:v>2018-II</c:v>
                </c:pt>
                <c:pt idx="4">
                  <c:v>2019-I</c:v>
                </c:pt>
                <c:pt idx="5">
                  <c:v>2019-II</c:v>
                </c:pt>
                <c:pt idx="6">
                  <c:v>2020-I</c:v>
                </c:pt>
                <c:pt idx="7">
                  <c:v>2020-II</c:v>
                </c:pt>
                <c:pt idx="8">
                  <c:v>2021-I</c:v>
                </c:pt>
                <c:pt idx="9">
                  <c:v>2021-II</c:v>
                </c:pt>
                <c:pt idx="10">
                  <c:v>2022-I</c:v>
                </c:pt>
                <c:pt idx="11">
                  <c:v>2022-II</c:v>
                </c:pt>
                <c:pt idx="12">
                  <c:v>2023-I</c:v>
                </c:pt>
                <c:pt idx="13">
                  <c:v>2023-II</c:v>
                </c:pt>
                <c:pt idx="14">
                  <c:v>2024-I</c:v>
                </c:pt>
                <c:pt idx="15">
                  <c:v>2024-II</c:v>
                </c:pt>
                <c:pt idx="16">
                  <c:v>2025-I</c:v>
                </c:pt>
                <c:pt idx="17">
                  <c:v>2025-II</c:v>
                </c:pt>
              </c:strCache>
            </c:strRef>
          </c:cat>
          <c:val>
            <c:numRef>
              <c:f>'0. Resumen Estadístico'!$D$42:$D$59</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0-6B51-4028-A879-C77D57FE998A}"/>
            </c:ext>
          </c:extLst>
        </c:ser>
        <c:ser>
          <c:idx val="1"/>
          <c:order val="1"/>
          <c:tx>
            <c:strRef>
              <c:f>'0. Resumen Estadístico'!$E$41</c:f>
              <c:strCache>
                <c:ptCount val="1"/>
                <c:pt idx="0">
                  <c:v>Tasa de deserción al segundo año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Resumen Estadístico'!$C$42:$C$59</c:f>
              <c:strCache>
                <c:ptCount val="18"/>
                <c:pt idx="0">
                  <c:v>2017-I</c:v>
                </c:pt>
                <c:pt idx="1">
                  <c:v>2017-II</c:v>
                </c:pt>
                <c:pt idx="2">
                  <c:v>2018-I</c:v>
                </c:pt>
                <c:pt idx="3">
                  <c:v>2018-II</c:v>
                </c:pt>
                <c:pt idx="4">
                  <c:v>2019-I</c:v>
                </c:pt>
                <c:pt idx="5">
                  <c:v>2019-II</c:v>
                </c:pt>
                <c:pt idx="6">
                  <c:v>2020-I</c:v>
                </c:pt>
                <c:pt idx="7">
                  <c:v>2020-II</c:v>
                </c:pt>
                <c:pt idx="8">
                  <c:v>2021-I</c:v>
                </c:pt>
                <c:pt idx="9">
                  <c:v>2021-II</c:v>
                </c:pt>
                <c:pt idx="10">
                  <c:v>2022-I</c:v>
                </c:pt>
                <c:pt idx="11">
                  <c:v>2022-II</c:v>
                </c:pt>
                <c:pt idx="12">
                  <c:v>2023-I</c:v>
                </c:pt>
                <c:pt idx="13">
                  <c:v>2023-II</c:v>
                </c:pt>
                <c:pt idx="14">
                  <c:v>2024-I</c:v>
                </c:pt>
                <c:pt idx="15">
                  <c:v>2024-II</c:v>
                </c:pt>
                <c:pt idx="16">
                  <c:v>2025-I</c:v>
                </c:pt>
                <c:pt idx="17">
                  <c:v>2025-II</c:v>
                </c:pt>
              </c:strCache>
            </c:strRef>
          </c:cat>
          <c:val>
            <c:numRef>
              <c:f>'0. Resumen Estadístico'!$E$42:$E$59</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1-6B51-4028-A879-C77D57FE998A}"/>
            </c:ext>
          </c:extLst>
        </c:ser>
        <c:ser>
          <c:idx val="2"/>
          <c:order val="2"/>
          <c:tx>
            <c:strRef>
              <c:f>'0. Resumen Estadístico'!$F$41</c:f>
              <c:strCache>
                <c:ptCount val="1"/>
                <c:pt idx="0">
                  <c:v>Tasa de deserción al tercer año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Resumen Estadístico'!$C$42:$C$59</c:f>
              <c:strCache>
                <c:ptCount val="18"/>
                <c:pt idx="0">
                  <c:v>2017-I</c:v>
                </c:pt>
                <c:pt idx="1">
                  <c:v>2017-II</c:v>
                </c:pt>
                <c:pt idx="2">
                  <c:v>2018-I</c:v>
                </c:pt>
                <c:pt idx="3">
                  <c:v>2018-II</c:v>
                </c:pt>
                <c:pt idx="4">
                  <c:v>2019-I</c:v>
                </c:pt>
                <c:pt idx="5">
                  <c:v>2019-II</c:v>
                </c:pt>
                <c:pt idx="6">
                  <c:v>2020-I</c:v>
                </c:pt>
                <c:pt idx="7">
                  <c:v>2020-II</c:v>
                </c:pt>
                <c:pt idx="8">
                  <c:v>2021-I</c:v>
                </c:pt>
                <c:pt idx="9">
                  <c:v>2021-II</c:v>
                </c:pt>
                <c:pt idx="10">
                  <c:v>2022-I</c:v>
                </c:pt>
                <c:pt idx="11">
                  <c:v>2022-II</c:v>
                </c:pt>
                <c:pt idx="12">
                  <c:v>2023-I</c:v>
                </c:pt>
                <c:pt idx="13">
                  <c:v>2023-II</c:v>
                </c:pt>
                <c:pt idx="14">
                  <c:v>2024-I</c:v>
                </c:pt>
                <c:pt idx="15">
                  <c:v>2024-II</c:v>
                </c:pt>
                <c:pt idx="16">
                  <c:v>2025-I</c:v>
                </c:pt>
                <c:pt idx="17">
                  <c:v>2025-II</c:v>
                </c:pt>
              </c:strCache>
            </c:strRef>
          </c:cat>
          <c:val>
            <c:numRef>
              <c:f>'0. Resumen Estadístico'!$F$42:$F$59</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smooth val="0"/>
          <c:extLst>
            <c:ext xmlns:c16="http://schemas.microsoft.com/office/drawing/2014/chart" uri="{C3380CC4-5D6E-409C-BE32-E72D297353CC}">
              <c16:uniqueId val="{00000002-6B51-4028-A879-C77D57FE998A}"/>
            </c:ext>
          </c:extLst>
        </c:ser>
        <c:dLbls>
          <c:dLblPos val="t"/>
          <c:showLegendKey val="0"/>
          <c:showVal val="1"/>
          <c:showCatName val="0"/>
          <c:showSerName val="0"/>
          <c:showPercent val="0"/>
          <c:showBubbleSize val="0"/>
        </c:dLbls>
        <c:marker val="1"/>
        <c:smooth val="0"/>
        <c:axId val="1347897680"/>
        <c:axId val="1347897200"/>
      </c:lineChart>
      <c:catAx>
        <c:axId val="134789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crossAx val="1347897200"/>
        <c:crosses val="autoZero"/>
        <c:auto val="1"/>
        <c:lblAlgn val="ctr"/>
        <c:lblOffset val="100"/>
        <c:noMultiLvlLbl val="0"/>
      </c:catAx>
      <c:valAx>
        <c:axId val="1347897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crossAx val="1347897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Tasas de egreso y titulación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'0. Resumen Estadístico'!$D$65</c:f>
              <c:strCache>
                <c:ptCount val="1"/>
                <c:pt idx="0">
                  <c:v>Tasa de egreso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Resumen Estadístico'!$C$66:$C$75</c:f>
              <c:strCache>
                <c:ptCount val="10"/>
                <c:pt idx="0">
                  <c:v>2017-I</c:v>
                </c:pt>
                <c:pt idx="1">
                  <c:v>2017-II</c:v>
                </c:pt>
                <c:pt idx="2">
                  <c:v>2018-I</c:v>
                </c:pt>
                <c:pt idx="3">
                  <c:v>2018-II</c:v>
                </c:pt>
                <c:pt idx="4">
                  <c:v>2019-I</c:v>
                </c:pt>
                <c:pt idx="5">
                  <c:v>2019-II</c:v>
                </c:pt>
                <c:pt idx="6">
                  <c:v>2020-I</c:v>
                </c:pt>
                <c:pt idx="7">
                  <c:v>2020-II</c:v>
                </c:pt>
                <c:pt idx="8">
                  <c:v>2021-I</c:v>
                </c:pt>
                <c:pt idx="9">
                  <c:v>2021-II</c:v>
                </c:pt>
              </c:strCache>
            </c:strRef>
          </c:cat>
          <c:val>
            <c:numRef>
              <c:f>'0. Resumen Estadístico'!$D$66:$D$75</c:f>
              <c:numCache>
                <c:formatCode>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0-72CC-4F0E-A52B-08038847D500}"/>
            </c:ext>
          </c:extLst>
        </c:ser>
        <c:ser>
          <c:idx val="1"/>
          <c:order val="1"/>
          <c:tx>
            <c:strRef>
              <c:f>'0. Resumen Estadístico'!$E$65</c:f>
              <c:strCache>
                <c:ptCount val="1"/>
                <c:pt idx="0">
                  <c:v>Tasa de titulación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Resumen Estadístico'!$C$66:$C$75</c:f>
              <c:strCache>
                <c:ptCount val="10"/>
                <c:pt idx="0">
                  <c:v>2017-I</c:v>
                </c:pt>
                <c:pt idx="1">
                  <c:v>2017-II</c:v>
                </c:pt>
                <c:pt idx="2">
                  <c:v>2018-I</c:v>
                </c:pt>
                <c:pt idx="3">
                  <c:v>2018-II</c:v>
                </c:pt>
                <c:pt idx="4">
                  <c:v>2019-I</c:v>
                </c:pt>
                <c:pt idx="5">
                  <c:v>2019-II</c:v>
                </c:pt>
                <c:pt idx="6">
                  <c:v>2020-I</c:v>
                </c:pt>
                <c:pt idx="7">
                  <c:v>2020-II</c:v>
                </c:pt>
                <c:pt idx="8">
                  <c:v>2021-I</c:v>
                </c:pt>
                <c:pt idx="9">
                  <c:v>2021-II</c:v>
                </c:pt>
              </c:strCache>
            </c:strRef>
          </c:cat>
          <c:val>
            <c:numRef>
              <c:f>'0. Resumen Estadístico'!$E$66:$E$75</c:f>
              <c:numCache>
                <c:formatCode>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1-72CC-4F0E-A52B-08038847D500}"/>
            </c:ext>
          </c:extLst>
        </c:ser>
        <c:ser>
          <c:idx val="2"/>
          <c:order val="2"/>
          <c:tx>
            <c:strRef>
              <c:f>'0. Resumen Estadístico'!$F$65</c:f>
              <c:strCache>
                <c:ptCount val="1"/>
                <c:pt idx="0">
                  <c:v>Tasa de titulación oportuna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Resumen Estadístico'!$C$66:$C$75</c:f>
              <c:strCache>
                <c:ptCount val="10"/>
                <c:pt idx="0">
                  <c:v>2017-I</c:v>
                </c:pt>
                <c:pt idx="1">
                  <c:v>2017-II</c:v>
                </c:pt>
                <c:pt idx="2">
                  <c:v>2018-I</c:v>
                </c:pt>
                <c:pt idx="3">
                  <c:v>2018-II</c:v>
                </c:pt>
                <c:pt idx="4">
                  <c:v>2019-I</c:v>
                </c:pt>
                <c:pt idx="5">
                  <c:v>2019-II</c:v>
                </c:pt>
                <c:pt idx="6">
                  <c:v>2020-I</c:v>
                </c:pt>
                <c:pt idx="7">
                  <c:v>2020-II</c:v>
                </c:pt>
                <c:pt idx="8">
                  <c:v>2021-I</c:v>
                </c:pt>
                <c:pt idx="9">
                  <c:v>2021-II</c:v>
                </c:pt>
              </c:strCache>
            </c:strRef>
          </c:cat>
          <c:val>
            <c:numRef>
              <c:f>'0. Resumen Estadístico'!$F$66:$F$75</c:f>
              <c:numCache>
                <c:formatCode>0%</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2-72CC-4F0E-A52B-08038847D500}"/>
            </c:ext>
          </c:extLst>
        </c:ser>
        <c:dLbls>
          <c:dLblPos val="t"/>
          <c:showLegendKey val="0"/>
          <c:showVal val="1"/>
          <c:showCatName val="0"/>
          <c:showSerName val="0"/>
          <c:showPercent val="0"/>
          <c:showBubbleSize val="0"/>
        </c:dLbls>
        <c:marker val="1"/>
        <c:smooth val="0"/>
        <c:axId val="1657749024"/>
        <c:axId val="1657748064"/>
      </c:lineChart>
      <c:catAx>
        <c:axId val="165774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crossAx val="1657748064"/>
        <c:crosses val="autoZero"/>
        <c:auto val="1"/>
        <c:lblAlgn val="ctr"/>
        <c:lblOffset val="100"/>
        <c:noMultiLvlLbl val="0"/>
      </c:catAx>
      <c:valAx>
        <c:axId val="16577480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crossAx val="1657749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Académicos por tipo de jornada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bar"/>
        <c:grouping val="stacked"/>
        <c:varyColors val="0"/>
        <c:ser>
          <c:idx val="0"/>
          <c:order val="0"/>
          <c:tx>
            <c:strRef>
              <c:f>'0. Resumen Estadístico'!$D$83</c:f>
              <c:strCache>
                <c:ptCount val="1"/>
                <c:pt idx="0">
                  <c:v>Académicos jornada completa </c:v>
                </c:pt>
              </c:strCache>
            </c:strRef>
          </c:tx>
          <c:spPr>
            <a:pattFill prst="wdDnDiag">
              <a:fgClr>
                <a:schemeClr val="accent1">
                  <a:lumMod val="20000"/>
                  <a:lumOff val="8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Resumen Estadístico'!$C$84:$C$93</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'0. Resumen Estadístico'!$D$84:$D$93</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1436-4FAB-AE43-EDBA3273EDDC}"/>
            </c:ext>
          </c:extLst>
        </c:ser>
        <c:ser>
          <c:idx val="1"/>
          <c:order val="1"/>
          <c:tx>
            <c:strRef>
              <c:f>'0. Resumen Estadístico'!$E$83</c:f>
              <c:strCache>
                <c:ptCount val="1"/>
                <c:pt idx="0">
                  <c:v>Académicos media jornada</c:v>
                </c:pt>
              </c:strCache>
            </c:strRef>
          </c:tx>
          <c:spPr>
            <a:pattFill prst="wdUpDiag">
              <a:fgClr>
                <a:schemeClr val="accent2">
                  <a:lumMod val="40000"/>
                  <a:lumOff val="6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Resumen Estadístico'!$C$84:$C$93</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'0. Resumen Estadístico'!$E$84:$E$93</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1436-4FAB-AE43-EDBA3273EDDC}"/>
            </c:ext>
          </c:extLst>
        </c:ser>
        <c:ser>
          <c:idx val="2"/>
          <c:order val="2"/>
          <c:tx>
            <c:strRef>
              <c:f>'0. Resumen Estadístico'!$F$83</c:f>
              <c:strCache>
                <c:ptCount val="1"/>
                <c:pt idx="0">
                  <c:v>Académicos contratados por horas</c:v>
                </c:pt>
              </c:strCache>
            </c:strRef>
          </c:tx>
          <c:spPr>
            <a:pattFill prst="trellis">
              <a:fgClr>
                <a:schemeClr val="accent6">
                  <a:lumMod val="40000"/>
                  <a:lumOff val="6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 Resumen Estadístico'!$C$84:$C$93</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'0. Resumen Estadístico'!$F$84:$F$93</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1436-4FAB-AE43-EDBA3273EDDC}"/>
            </c:ext>
          </c:extLst>
        </c:ser>
        <c:dLbls>
          <c:dLblPos val="ctr"/>
          <c:showLegendKey val="0"/>
          <c:showVal val="1"/>
          <c:showCatName val="0"/>
          <c:showSerName val="0"/>
          <c:showPercent val="0"/>
          <c:showBubbleSize val="0"/>
        </c:dLbls>
        <c:gapWidth val="150"/>
        <c:overlap val="100"/>
        <c:axId val="1279103344"/>
        <c:axId val="1279102864"/>
      </c:barChart>
      <c:catAx>
        <c:axId val="127910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crossAx val="1279102864"/>
        <c:crosses val="autoZero"/>
        <c:auto val="1"/>
        <c:lblAlgn val="ctr"/>
        <c:lblOffset val="100"/>
        <c:noMultiLvlLbl val="0"/>
      </c:catAx>
      <c:valAx>
        <c:axId val="12791028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crossAx val="1279103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Académicos</a:t>
            </a:r>
            <a:r>
              <a:rPr lang="es-CL" baseline="0"/>
              <a:t> jornada completa según grado</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stacked"/>
        <c:varyColors val="0"/>
        <c:ser>
          <c:idx val="0"/>
          <c:order val="0"/>
          <c:tx>
            <c:strRef>
              <c:f>'11. Caracterización académicos '!$E$8</c:f>
              <c:strCache>
                <c:ptCount val="1"/>
                <c:pt idx="0">
                  <c:v>Doctor </c:v>
                </c:pt>
              </c:strCache>
            </c:strRef>
          </c:tx>
          <c:spPr>
            <a:pattFill prst="wdDnDiag">
              <a:fgClr>
                <a:schemeClr val="accent1">
                  <a:lumMod val="20000"/>
                  <a:lumOff val="8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 Caracterización académicos '!$A$9:$A$18</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'11. Caracterización académicos '!$E$9:$E$18</c:f>
              <c:numCache>
                <c:formatCode>0</c:formatCode>
                <c:ptCount val="10"/>
              </c:numCache>
            </c:numRef>
          </c:val>
          <c:extLst>
            <c:ext xmlns:c16="http://schemas.microsoft.com/office/drawing/2014/chart" uri="{C3380CC4-5D6E-409C-BE32-E72D297353CC}">
              <c16:uniqueId val="{00000000-A158-47AE-AC72-7428236ED653}"/>
            </c:ext>
          </c:extLst>
        </c:ser>
        <c:ser>
          <c:idx val="1"/>
          <c:order val="1"/>
          <c:tx>
            <c:strRef>
              <c:f>'11. Caracterización académicos '!$F$8</c:f>
              <c:strCache>
                <c:ptCount val="1"/>
                <c:pt idx="0">
                  <c:v>Magister</c:v>
                </c:pt>
              </c:strCache>
            </c:strRef>
          </c:tx>
          <c:spPr>
            <a:pattFill prst="wdUpDiag">
              <a:fgClr>
                <a:schemeClr val="accent2">
                  <a:lumMod val="40000"/>
                  <a:lumOff val="6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 Caracterización académicos '!$A$9:$A$18</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'11. Caracterización académicos '!$F$9:$F$18</c:f>
              <c:numCache>
                <c:formatCode>0</c:formatCode>
                <c:ptCount val="10"/>
              </c:numCache>
            </c:numRef>
          </c:val>
          <c:extLst>
            <c:ext xmlns:c16="http://schemas.microsoft.com/office/drawing/2014/chart" uri="{C3380CC4-5D6E-409C-BE32-E72D297353CC}">
              <c16:uniqueId val="{00000001-A158-47AE-AC72-7428236ED653}"/>
            </c:ext>
          </c:extLst>
        </c:ser>
        <c:ser>
          <c:idx val="2"/>
          <c:order val="2"/>
          <c:tx>
            <c:strRef>
              <c:f>'11. Caracterización académicos '!$G$8</c:f>
              <c:strCache>
                <c:ptCount val="1"/>
                <c:pt idx="0">
                  <c:v>Licenciado</c:v>
                </c:pt>
              </c:strCache>
            </c:strRef>
          </c:tx>
          <c:spPr>
            <a:pattFill prst="trellis">
              <a:fgClr>
                <a:schemeClr val="accent6">
                  <a:lumMod val="40000"/>
                  <a:lumOff val="6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 Caracterización académicos '!$A$9:$A$18</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'11. Caracterización académicos '!$G$9:$G$18</c:f>
              <c:numCache>
                <c:formatCode>0</c:formatCode>
                <c:ptCount val="10"/>
              </c:numCache>
            </c:numRef>
          </c:val>
          <c:extLst>
            <c:ext xmlns:c16="http://schemas.microsoft.com/office/drawing/2014/chart" uri="{C3380CC4-5D6E-409C-BE32-E72D297353CC}">
              <c16:uniqueId val="{00000002-A158-47AE-AC72-7428236ED653}"/>
            </c:ext>
          </c:extLst>
        </c:ser>
        <c:ser>
          <c:idx val="3"/>
          <c:order val="3"/>
          <c:tx>
            <c:strRef>
              <c:f>'11. Caracterización académicos '!$H$8</c:f>
              <c:strCache>
                <c:ptCount val="1"/>
                <c:pt idx="0">
                  <c:v>Sin título ni grado</c:v>
                </c:pt>
              </c:strCache>
            </c:strRef>
          </c:tx>
          <c:spPr>
            <a:pattFill prst="solidDmnd">
              <a:fgClr>
                <a:schemeClr val="accent4">
                  <a:lumMod val="40000"/>
                  <a:lumOff val="6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 Caracterización académicos '!$A$9:$A$18</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'11. Caracterización académicos '!$H$9:$H$18</c:f>
              <c:numCache>
                <c:formatCode>0</c:formatCode>
                <c:ptCount val="10"/>
              </c:numCache>
            </c:numRef>
          </c:val>
          <c:extLst>
            <c:ext xmlns:c16="http://schemas.microsoft.com/office/drawing/2014/chart" uri="{C3380CC4-5D6E-409C-BE32-E72D297353CC}">
              <c16:uniqueId val="{00000003-A158-47AE-AC72-7428236ED653}"/>
            </c:ext>
          </c:extLst>
        </c:ser>
        <c:dLbls>
          <c:dLblPos val="ctr"/>
          <c:showLegendKey val="0"/>
          <c:showVal val="1"/>
          <c:showCatName val="0"/>
          <c:showSerName val="0"/>
          <c:showPercent val="0"/>
          <c:showBubbleSize val="0"/>
        </c:dLbls>
        <c:gapWidth val="150"/>
        <c:overlap val="100"/>
        <c:axId val="1577525664"/>
        <c:axId val="1577527584"/>
      </c:barChart>
      <c:catAx>
        <c:axId val="157752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77527584"/>
        <c:crosses val="autoZero"/>
        <c:auto val="1"/>
        <c:lblAlgn val="ctr"/>
        <c:lblOffset val="100"/>
        <c:noMultiLvlLbl val="0"/>
      </c:catAx>
      <c:valAx>
        <c:axId val="1577527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7752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Académicos</a:t>
            </a:r>
            <a:r>
              <a:rPr lang="es-CL" baseline="0"/>
              <a:t> media jornada según grado</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stacked"/>
        <c:varyColors val="0"/>
        <c:ser>
          <c:idx val="0"/>
          <c:order val="0"/>
          <c:tx>
            <c:strRef>
              <c:f>'11. Caracterización académicos '!$L$8</c:f>
              <c:strCache>
                <c:ptCount val="1"/>
                <c:pt idx="0">
                  <c:v>Doctor </c:v>
                </c:pt>
              </c:strCache>
            </c:strRef>
          </c:tx>
          <c:spPr>
            <a:pattFill prst="wdDnDiag">
              <a:fgClr>
                <a:schemeClr val="accent1">
                  <a:lumMod val="20000"/>
                  <a:lumOff val="8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 Caracterización académicos '!$A$9:$A$18</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'11. Caracterización académicos '!$L$9:$L$18</c:f>
              <c:numCache>
                <c:formatCode>0</c:formatCode>
                <c:ptCount val="10"/>
              </c:numCache>
            </c:numRef>
          </c:val>
          <c:extLst>
            <c:ext xmlns:c16="http://schemas.microsoft.com/office/drawing/2014/chart" uri="{C3380CC4-5D6E-409C-BE32-E72D297353CC}">
              <c16:uniqueId val="{00000000-AE2E-49F2-A0CB-A27C98FBD5D8}"/>
            </c:ext>
          </c:extLst>
        </c:ser>
        <c:ser>
          <c:idx val="1"/>
          <c:order val="1"/>
          <c:tx>
            <c:strRef>
              <c:f>'11. Caracterización académicos '!$M$8</c:f>
              <c:strCache>
                <c:ptCount val="1"/>
                <c:pt idx="0">
                  <c:v>Magister</c:v>
                </c:pt>
              </c:strCache>
            </c:strRef>
          </c:tx>
          <c:spPr>
            <a:pattFill prst="wdUpDiag">
              <a:fgClr>
                <a:schemeClr val="accent2">
                  <a:lumMod val="40000"/>
                  <a:lumOff val="6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 Caracterización académicos '!$A$9:$A$18</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'11. Caracterización académicos '!$M$9:$M$18</c:f>
              <c:numCache>
                <c:formatCode>0</c:formatCode>
                <c:ptCount val="10"/>
              </c:numCache>
            </c:numRef>
          </c:val>
          <c:extLst>
            <c:ext xmlns:c16="http://schemas.microsoft.com/office/drawing/2014/chart" uri="{C3380CC4-5D6E-409C-BE32-E72D297353CC}">
              <c16:uniqueId val="{00000001-AE2E-49F2-A0CB-A27C98FBD5D8}"/>
            </c:ext>
          </c:extLst>
        </c:ser>
        <c:ser>
          <c:idx val="2"/>
          <c:order val="2"/>
          <c:tx>
            <c:strRef>
              <c:f>'11. Caracterización académicos '!$N$8</c:f>
              <c:strCache>
                <c:ptCount val="1"/>
                <c:pt idx="0">
                  <c:v>Licenciado</c:v>
                </c:pt>
              </c:strCache>
            </c:strRef>
          </c:tx>
          <c:spPr>
            <a:pattFill prst="trellis">
              <a:fgClr>
                <a:schemeClr val="accent6">
                  <a:lumMod val="40000"/>
                  <a:lumOff val="6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 Caracterización académicos '!$A$9:$A$18</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'11. Caracterización académicos '!$N$9:$N$18</c:f>
              <c:numCache>
                <c:formatCode>0</c:formatCode>
                <c:ptCount val="10"/>
              </c:numCache>
            </c:numRef>
          </c:val>
          <c:extLst>
            <c:ext xmlns:c16="http://schemas.microsoft.com/office/drawing/2014/chart" uri="{C3380CC4-5D6E-409C-BE32-E72D297353CC}">
              <c16:uniqueId val="{00000002-AE2E-49F2-A0CB-A27C98FBD5D8}"/>
            </c:ext>
          </c:extLst>
        </c:ser>
        <c:ser>
          <c:idx val="3"/>
          <c:order val="3"/>
          <c:tx>
            <c:strRef>
              <c:f>'11. Caracterización académicos '!$O$8</c:f>
              <c:strCache>
                <c:ptCount val="1"/>
                <c:pt idx="0">
                  <c:v>Sin título ni grado</c:v>
                </c:pt>
              </c:strCache>
            </c:strRef>
          </c:tx>
          <c:spPr>
            <a:pattFill prst="solidDmnd">
              <a:fgClr>
                <a:schemeClr val="accent4">
                  <a:lumMod val="40000"/>
                  <a:lumOff val="6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 Caracterización académicos '!$A$9:$A$18</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'11. Caracterización académicos '!$O$9:$O$18</c:f>
              <c:numCache>
                <c:formatCode>0</c:formatCode>
                <c:ptCount val="10"/>
              </c:numCache>
            </c:numRef>
          </c:val>
          <c:extLst>
            <c:ext xmlns:c16="http://schemas.microsoft.com/office/drawing/2014/chart" uri="{C3380CC4-5D6E-409C-BE32-E72D297353CC}">
              <c16:uniqueId val="{00000003-AE2E-49F2-A0CB-A27C98FBD5D8}"/>
            </c:ext>
          </c:extLst>
        </c:ser>
        <c:dLbls>
          <c:dLblPos val="ctr"/>
          <c:showLegendKey val="0"/>
          <c:showVal val="1"/>
          <c:showCatName val="0"/>
          <c:showSerName val="0"/>
          <c:showPercent val="0"/>
          <c:showBubbleSize val="0"/>
        </c:dLbls>
        <c:gapWidth val="150"/>
        <c:overlap val="100"/>
        <c:axId val="1577525664"/>
        <c:axId val="1577527584"/>
      </c:barChart>
      <c:catAx>
        <c:axId val="157752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77527584"/>
        <c:crosses val="autoZero"/>
        <c:auto val="1"/>
        <c:lblAlgn val="ctr"/>
        <c:lblOffset val="100"/>
        <c:noMultiLvlLbl val="0"/>
      </c:catAx>
      <c:valAx>
        <c:axId val="1577527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7752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Académicos</a:t>
            </a:r>
            <a:r>
              <a:rPr lang="es-CL" baseline="0"/>
              <a:t> contratados por hora según grado</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stacked"/>
        <c:varyColors val="0"/>
        <c:ser>
          <c:idx val="0"/>
          <c:order val="0"/>
          <c:tx>
            <c:strRef>
              <c:f>'11. Caracterización académicos '!$S$8</c:f>
              <c:strCache>
                <c:ptCount val="1"/>
                <c:pt idx="0">
                  <c:v>Doctor </c:v>
                </c:pt>
              </c:strCache>
            </c:strRef>
          </c:tx>
          <c:spPr>
            <a:pattFill prst="wdDnDiag">
              <a:fgClr>
                <a:schemeClr val="accent1">
                  <a:lumMod val="20000"/>
                  <a:lumOff val="8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 Caracterización académicos '!$A$9:$A$18</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'11. Caracterización académicos '!$S$9:$S$18</c:f>
              <c:numCache>
                <c:formatCode>0</c:formatCode>
                <c:ptCount val="10"/>
              </c:numCache>
            </c:numRef>
          </c:val>
          <c:extLst>
            <c:ext xmlns:c16="http://schemas.microsoft.com/office/drawing/2014/chart" uri="{C3380CC4-5D6E-409C-BE32-E72D297353CC}">
              <c16:uniqueId val="{00000000-06AD-4259-8539-B08ECFDD0839}"/>
            </c:ext>
          </c:extLst>
        </c:ser>
        <c:ser>
          <c:idx val="1"/>
          <c:order val="1"/>
          <c:tx>
            <c:strRef>
              <c:f>'11. Caracterización académicos '!$T$8</c:f>
              <c:strCache>
                <c:ptCount val="1"/>
                <c:pt idx="0">
                  <c:v>Magister</c:v>
                </c:pt>
              </c:strCache>
            </c:strRef>
          </c:tx>
          <c:spPr>
            <a:pattFill prst="wdUpDiag">
              <a:fgClr>
                <a:schemeClr val="accent2">
                  <a:lumMod val="40000"/>
                  <a:lumOff val="6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 Caracterización académicos '!$A$9:$A$18</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'11. Caracterización académicos '!$T$9:$T$18</c:f>
              <c:numCache>
                <c:formatCode>0</c:formatCode>
                <c:ptCount val="10"/>
              </c:numCache>
            </c:numRef>
          </c:val>
          <c:extLst>
            <c:ext xmlns:c16="http://schemas.microsoft.com/office/drawing/2014/chart" uri="{C3380CC4-5D6E-409C-BE32-E72D297353CC}">
              <c16:uniqueId val="{00000001-06AD-4259-8539-B08ECFDD0839}"/>
            </c:ext>
          </c:extLst>
        </c:ser>
        <c:ser>
          <c:idx val="2"/>
          <c:order val="2"/>
          <c:tx>
            <c:strRef>
              <c:f>'11. Caracterización académicos '!$U$8</c:f>
              <c:strCache>
                <c:ptCount val="1"/>
                <c:pt idx="0">
                  <c:v>Licenciado</c:v>
                </c:pt>
              </c:strCache>
            </c:strRef>
          </c:tx>
          <c:spPr>
            <a:pattFill prst="trellis">
              <a:fgClr>
                <a:schemeClr val="accent6">
                  <a:lumMod val="40000"/>
                  <a:lumOff val="6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 Caracterización académicos '!$A$9:$A$18</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'11. Caracterización académicos '!$U$9:$U$18</c:f>
              <c:numCache>
                <c:formatCode>0</c:formatCode>
                <c:ptCount val="10"/>
              </c:numCache>
            </c:numRef>
          </c:val>
          <c:extLst>
            <c:ext xmlns:c16="http://schemas.microsoft.com/office/drawing/2014/chart" uri="{C3380CC4-5D6E-409C-BE32-E72D297353CC}">
              <c16:uniqueId val="{00000002-06AD-4259-8539-B08ECFDD0839}"/>
            </c:ext>
          </c:extLst>
        </c:ser>
        <c:ser>
          <c:idx val="3"/>
          <c:order val="3"/>
          <c:tx>
            <c:strRef>
              <c:f>'11. Caracterización académicos '!$V$8</c:f>
              <c:strCache>
                <c:ptCount val="1"/>
                <c:pt idx="0">
                  <c:v>Sin título ni grado</c:v>
                </c:pt>
              </c:strCache>
            </c:strRef>
          </c:tx>
          <c:spPr>
            <a:pattFill prst="solidDmnd">
              <a:fgClr>
                <a:schemeClr val="accent4">
                  <a:lumMod val="40000"/>
                  <a:lumOff val="6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 Caracterización académicos '!$A$9:$A$18</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'11. Caracterización académicos '!$V$9:$V$18</c:f>
              <c:numCache>
                <c:formatCode>0</c:formatCode>
                <c:ptCount val="10"/>
              </c:numCache>
            </c:numRef>
          </c:val>
          <c:extLst>
            <c:ext xmlns:c16="http://schemas.microsoft.com/office/drawing/2014/chart" uri="{C3380CC4-5D6E-409C-BE32-E72D297353CC}">
              <c16:uniqueId val="{00000003-06AD-4259-8539-B08ECFDD0839}"/>
            </c:ext>
          </c:extLst>
        </c:ser>
        <c:dLbls>
          <c:dLblPos val="ctr"/>
          <c:showLegendKey val="0"/>
          <c:showVal val="1"/>
          <c:showCatName val="0"/>
          <c:showSerName val="0"/>
          <c:showPercent val="0"/>
          <c:showBubbleSize val="0"/>
        </c:dLbls>
        <c:gapWidth val="150"/>
        <c:overlap val="100"/>
        <c:axId val="1577525664"/>
        <c:axId val="1577527584"/>
      </c:barChart>
      <c:catAx>
        <c:axId val="157752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77527584"/>
        <c:crosses val="autoZero"/>
        <c:auto val="1"/>
        <c:lblAlgn val="ctr"/>
        <c:lblOffset val="100"/>
        <c:noMultiLvlLbl val="0"/>
      </c:catAx>
      <c:valAx>
        <c:axId val="1577527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7752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Total académicos por tramo etario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stacked"/>
        <c:varyColors val="0"/>
        <c:ser>
          <c:idx val="0"/>
          <c:order val="0"/>
          <c:tx>
            <c:strRef>
              <c:f>'11. Caracterización académicos '!$Y$8</c:f>
              <c:strCache>
                <c:ptCount val="1"/>
                <c:pt idx="0">
                  <c:v>Menores de 35 años</c:v>
                </c:pt>
              </c:strCache>
            </c:strRef>
          </c:tx>
          <c:spPr>
            <a:pattFill prst="wdDnDiag">
              <a:fgClr>
                <a:schemeClr val="accent1">
                  <a:lumMod val="20000"/>
                  <a:lumOff val="8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 Caracterización académicos '!$A$9:$A$18</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'11. Caracterización académicos '!$Y$9:$Y$18</c:f>
              <c:numCache>
                <c:formatCode>0</c:formatCode>
                <c:ptCount val="10"/>
              </c:numCache>
            </c:numRef>
          </c:val>
          <c:extLst>
            <c:ext xmlns:c16="http://schemas.microsoft.com/office/drawing/2014/chart" uri="{C3380CC4-5D6E-409C-BE32-E72D297353CC}">
              <c16:uniqueId val="{00000000-6F39-45AB-A667-CEF01D8AEAE1}"/>
            </c:ext>
          </c:extLst>
        </c:ser>
        <c:ser>
          <c:idx val="1"/>
          <c:order val="1"/>
          <c:tx>
            <c:strRef>
              <c:f>'11. Caracterización académicos '!$Z$8</c:f>
              <c:strCache>
                <c:ptCount val="1"/>
                <c:pt idx="0">
                  <c:v>Entre 36 y 50  años </c:v>
                </c:pt>
              </c:strCache>
            </c:strRef>
          </c:tx>
          <c:spPr>
            <a:pattFill prst="wdUpDiag">
              <a:fgClr>
                <a:schemeClr val="accent2">
                  <a:lumMod val="40000"/>
                  <a:lumOff val="6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 Caracterización académicos '!$A$9:$A$18</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'11. Caracterización académicos '!$Z$9:$Z$18</c:f>
              <c:numCache>
                <c:formatCode>0</c:formatCode>
                <c:ptCount val="10"/>
              </c:numCache>
            </c:numRef>
          </c:val>
          <c:extLst>
            <c:ext xmlns:c16="http://schemas.microsoft.com/office/drawing/2014/chart" uri="{C3380CC4-5D6E-409C-BE32-E72D297353CC}">
              <c16:uniqueId val="{00000001-6F39-45AB-A667-CEF01D8AEAE1}"/>
            </c:ext>
          </c:extLst>
        </c:ser>
        <c:ser>
          <c:idx val="2"/>
          <c:order val="2"/>
          <c:tx>
            <c:strRef>
              <c:f>'11. Caracterización académicos '!$AA$8</c:f>
              <c:strCache>
                <c:ptCount val="1"/>
                <c:pt idx="0">
                  <c:v>Entre 51 y 65 años </c:v>
                </c:pt>
              </c:strCache>
            </c:strRef>
          </c:tx>
          <c:spPr>
            <a:pattFill prst="trellis">
              <a:fgClr>
                <a:schemeClr val="accent6">
                  <a:lumMod val="20000"/>
                  <a:lumOff val="8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 Caracterización académicos '!$A$9:$A$18</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'11. Caracterización académicos '!$AA$9:$AA$18</c:f>
              <c:numCache>
                <c:formatCode>0</c:formatCode>
                <c:ptCount val="10"/>
              </c:numCache>
            </c:numRef>
          </c:val>
          <c:extLst>
            <c:ext xmlns:c16="http://schemas.microsoft.com/office/drawing/2014/chart" uri="{C3380CC4-5D6E-409C-BE32-E72D297353CC}">
              <c16:uniqueId val="{00000002-6F39-45AB-A667-CEF01D8AEAE1}"/>
            </c:ext>
          </c:extLst>
        </c:ser>
        <c:ser>
          <c:idx val="3"/>
          <c:order val="3"/>
          <c:tx>
            <c:strRef>
              <c:f>'11. Caracterización académicos '!$AB$8</c:f>
              <c:strCache>
                <c:ptCount val="1"/>
                <c:pt idx="0">
                  <c:v>Mayores de 65 años </c:v>
                </c:pt>
              </c:strCache>
            </c:strRef>
          </c:tx>
          <c:spPr>
            <a:pattFill prst="solidDmnd">
              <a:fgClr>
                <a:schemeClr val="accent4">
                  <a:lumMod val="40000"/>
                  <a:lumOff val="60000"/>
                </a:schemeClr>
              </a:fgClr>
              <a:bgClr>
                <a:schemeClr val="bg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 Caracterización académicos '!$A$9:$A$18</c:f>
              <c:strCache>
                <c:ptCount val="10"/>
                <c:pt idx="0">
                  <c:v>2022-I</c:v>
                </c:pt>
                <c:pt idx="1">
                  <c:v>2022-II</c:v>
                </c:pt>
                <c:pt idx="2">
                  <c:v>2023-I</c:v>
                </c:pt>
                <c:pt idx="3">
                  <c:v>2023-II</c:v>
                </c:pt>
                <c:pt idx="4">
                  <c:v>2024-I</c:v>
                </c:pt>
                <c:pt idx="5">
                  <c:v>2024-II</c:v>
                </c:pt>
                <c:pt idx="6">
                  <c:v>2025-I</c:v>
                </c:pt>
                <c:pt idx="7">
                  <c:v>2025-II</c:v>
                </c:pt>
                <c:pt idx="8">
                  <c:v>2026-I</c:v>
                </c:pt>
                <c:pt idx="9">
                  <c:v>2026-II</c:v>
                </c:pt>
              </c:strCache>
            </c:strRef>
          </c:cat>
          <c:val>
            <c:numRef>
              <c:f>'11. Caracterización académicos '!$AB$9:$AB$18</c:f>
              <c:numCache>
                <c:formatCode>0</c:formatCode>
                <c:ptCount val="10"/>
              </c:numCache>
            </c:numRef>
          </c:val>
          <c:extLst>
            <c:ext xmlns:c16="http://schemas.microsoft.com/office/drawing/2014/chart" uri="{C3380CC4-5D6E-409C-BE32-E72D297353CC}">
              <c16:uniqueId val="{00000003-6F39-45AB-A667-CEF01D8AEAE1}"/>
            </c:ext>
          </c:extLst>
        </c:ser>
        <c:dLbls>
          <c:dLblPos val="ctr"/>
          <c:showLegendKey val="0"/>
          <c:showVal val="1"/>
          <c:showCatName val="0"/>
          <c:showSerName val="0"/>
          <c:showPercent val="0"/>
          <c:showBubbleSize val="0"/>
        </c:dLbls>
        <c:gapWidth val="150"/>
        <c:overlap val="100"/>
        <c:axId val="1797472128"/>
        <c:axId val="1797469248"/>
      </c:barChart>
      <c:catAx>
        <c:axId val="179747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797469248"/>
        <c:crosses val="autoZero"/>
        <c:auto val="1"/>
        <c:lblAlgn val="ctr"/>
        <c:lblOffset val="100"/>
        <c:noMultiLvlLbl val="0"/>
      </c:catAx>
      <c:valAx>
        <c:axId val="17974692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797472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4</xdr:col>
      <xdr:colOff>68580</xdr:colOff>
      <xdr:row>2</xdr:row>
      <xdr:rowOff>67310</xdr:rowOff>
    </xdr:to>
    <xdr:pic>
      <xdr:nvPicPr>
        <xdr:cNvPr id="2" name="image1.png">
          <a:extLst>
            <a:ext uri="{FF2B5EF4-FFF2-40B4-BE49-F238E27FC236}">
              <a16:creationId xmlns:a16="http://schemas.microsoft.com/office/drawing/2014/main" id="{A051DB23-5EB9-6292-0150-7322F55E553C}"/>
            </a:ext>
          </a:extLst>
        </xdr:cNvPr>
        <xdr:cNvPicPr/>
      </xdr:nvPicPr>
      <xdr:blipFill>
        <a:blip xmlns:r="http://schemas.openxmlformats.org/officeDocument/2006/relationships" r:embed="rId1"/>
        <a:srcRect/>
        <a:stretch>
          <a:fillRect/>
        </a:stretch>
      </xdr:blipFill>
      <xdr:spPr>
        <a:xfrm>
          <a:off x="133350" y="66675"/>
          <a:ext cx="2028825" cy="1123950"/>
        </a:xfrm>
        <a:prstGeom prst="rect">
          <a:avLst/>
        </a:prstGeom>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292100</xdr:colOff>
      <xdr:row>6</xdr:row>
      <xdr:rowOff>173038</xdr:rowOff>
    </xdr:from>
    <xdr:to>
      <xdr:col>15</xdr:col>
      <xdr:colOff>571500</xdr:colOff>
      <xdr:row>21</xdr:row>
      <xdr:rowOff>11205</xdr:rowOff>
    </xdr:to>
    <xdr:graphicFrame macro="">
      <xdr:nvGraphicFramePr>
        <xdr:cNvPr id="4" name="Gráfico 3">
          <a:extLst>
            <a:ext uri="{FF2B5EF4-FFF2-40B4-BE49-F238E27FC236}">
              <a16:creationId xmlns:a16="http://schemas.microsoft.com/office/drawing/2014/main" id="{CFEC3315-ADE6-43BA-BCCA-197F616BD5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22</xdr:row>
      <xdr:rowOff>173038</xdr:rowOff>
    </xdr:from>
    <xdr:to>
      <xdr:col>15</xdr:col>
      <xdr:colOff>571500</xdr:colOff>
      <xdr:row>36</xdr:row>
      <xdr:rowOff>0</xdr:rowOff>
    </xdr:to>
    <xdr:graphicFrame macro="">
      <xdr:nvGraphicFramePr>
        <xdr:cNvPr id="5" name="Gráfico 4">
          <a:extLst>
            <a:ext uri="{FF2B5EF4-FFF2-40B4-BE49-F238E27FC236}">
              <a16:creationId xmlns:a16="http://schemas.microsoft.com/office/drawing/2014/main" id="{9C70DFE1-F4D8-5F9B-AC31-1A868F600F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351490</xdr:colOff>
      <xdr:row>38</xdr:row>
      <xdr:rowOff>41087</xdr:rowOff>
    </xdr:from>
    <xdr:to>
      <xdr:col>15</xdr:col>
      <xdr:colOff>571500</xdr:colOff>
      <xdr:row>59</xdr:row>
      <xdr:rowOff>123264</xdr:rowOff>
    </xdr:to>
    <xdr:graphicFrame macro="">
      <xdr:nvGraphicFramePr>
        <xdr:cNvPr id="6" name="Gráfico 5">
          <a:extLst>
            <a:ext uri="{FF2B5EF4-FFF2-40B4-BE49-F238E27FC236}">
              <a16:creationId xmlns:a16="http://schemas.microsoft.com/office/drawing/2014/main" id="{8D1FBD27-618C-C5BF-DA21-64BAC2057D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332253</xdr:colOff>
      <xdr:row>61</xdr:row>
      <xdr:rowOff>180412</xdr:rowOff>
    </xdr:from>
    <xdr:to>
      <xdr:col>15</xdr:col>
      <xdr:colOff>593910</xdr:colOff>
      <xdr:row>76</xdr:row>
      <xdr:rowOff>30442</xdr:rowOff>
    </xdr:to>
    <xdr:graphicFrame macro="">
      <xdr:nvGraphicFramePr>
        <xdr:cNvPr id="7" name="Gráfico 6">
          <a:extLst>
            <a:ext uri="{FF2B5EF4-FFF2-40B4-BE49-F238E27FC236}">
              <a16:creationId xmlns:a16="http://schemas.microsoft.com/office/drawing/2014/main" id="{9737908E-F664-1EC6-A856-8A0390670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339909</xdr:colOff>
      <xdr:row>80</xdr:row>
      <xdr:rowOff>178921</xdr:rowOff>
    </xdr:from>
    <xdr:to>
      <xdr:col>15</xdr:col>
      <xdr:colOff>603249</xdr:colOff>
      <xdr:row>94</xdr:row>
      <xdr:rowOff>28761</xdr:rowOff>
    </xdr:to>
    <xdr:graphicFrame macro="">
      <xdr:nvGraphicFramePr>
        <xdr:cNvPr id="8" name="Gráfico 7">
          <a:extLst>
            <a:ext uri="{FF2B5EF4-FFF2-40B4-BE49-F238E27FC236}">
              <a16:creationId xmlns:a16="http://schemas.microsoft.com/office/drawing/2014/main" id="{FD26760E-1B21-0EFC-8107-31E33E8CA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28576</xdr:colOff>
      <xdr:row>95</xdr:row>
      <xdr:rowOff>144461</xdr:rowOff>
    </xdr:from>
    <xdr:to>
      <xdr:col>5</xdr:col>
      <xdr:colOff>830376</xdr:colOff>
      <xdr:row>108</xdr:row>
      <xdr:rowOff>172136</xdr:rowOff>
    </xdr:to>
    <xdr:graphicFrame macro="">
      <xdr:nvGraphicFramePr>
        <xdr:cNvPr id="10" name="Gráfico 9">
          <a:extLst>
            <a:ext uri="{FF2B5EF4-FFF2-40B4-BE49-F238E27FC236}">
              <a16:creationId xmlns:a16="http://schemas.microsoft.com/office/drawing/2014/main" id="{689B4F72-E9AB-E51D-59A9-08C9144B0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917574</xdr:colOff>
      <xdr:row>95</xdr:row>
      <xdr:rowOff>161924</xdr:rowOff>
    </xdr:from>
    <xdr:to>
      <xdr:col>10</xdr:col>
      <xdr:colOff>655749</xdr:colOff>
      <xdr:row>108</xdr:row>
      <xdr:rowOff>192774</xdr:rowOff>
    </xdr:to>
    <xdr:graphicFrame macro="">
      <xdr:nvGraphicFramePr>
        <xdr:cNvPr id="11" name="Gráfico 10">
          <a:extLst>
            <a:ext uri="{FF2B5EF4-FFF2-40B4-BE49-F238E27FC236}">
              <a16:creationId xmlns:a16="http://schemas.microsoft.com/office/drawing/2014/main" id="{6C950916-EC91-4E64-8BEC-D162E1659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742949</xdr:colOff>
      <xdr:row>95</xdr:row>
      <xdr:rowOff>158750</xdr:rowOff>
    </xdr:from>
    <xdr:to>
      <xdr:col>15</xdr:col>
      <xdr:colOff>646224</xdr:colOff>
      <xdr:row>108</xdr:row>
      <xdr:rowOff>183250</xdr:rowOff>
    </xdr:to>
    <xdr:graphicFrame macro="">
      <xdr:nvGraphicFramePr>
        <xdr:cNvPr id="12" name="Gráfico 11">
          <a:extLst>
            <a:ext uri="{FF2B5EF4-FFF2-40B4-BE49-F238E27FC236}">
              <a16:creationId xmlns:a16="http://schemas.microsoft.com/office/drawing/2014/main" id="{731CDA2B-3CBC-4528-ADD0-A696F0E00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333374</xdr:colOff>
      <xdr:row>112</xdr:row>
      <xdr:rowOff>55562</xdr:rowOff>
    </xdr:from>
    <xdr:to>
      <xdr:col>12</xdr:col>
      <xdr:colOff>466724</xdr:colOff>
      <xdr:row>126</xdr:row>
      <xdr:rowOff>190500</xdr:rowOff>
    </xdr:to>
    <xdr:graphicFrame macro="">
      <xdr:nvGraphicFramePr>
        <xdr:cNvPr id="13" name="Gráfico 12">
          <a:extLst>
            <a:ext uri="{FF2B5EF4-FFF2-40B4-BE49-F238E27FC236}">
              <a16:creationId xmlns:a16="http://schemas.microsoft.com/office/drawing/2014/main" id="{83798C80-775A-95EB-8E27-0CF404024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inda\OneDrive\Escritorio\Gu&#237;a%20de%20antecedentes%20-%20Carreras_rev%20gabi_PB.xlsx" TargetMode="External"/><Relationship Id="rId1" Type="http://schemas.openxmlformats.org/officeDocument/2006/relationships/externalLinkPath" Target="Gu&#237;a%20de%20antecedentes%20-%20Carreras_rev%20gabi_P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Índice"/>
      <sheetName val="Instructivo general "/>
      <sheetName val="0. Resumen Estadístico"/>
      <sheetName val="1. Identificación carrera"/>
      <sheetName val="2. Líneas de investigación "/>
      <sheetName val="3.a.Admisión año"/>
      <sheetName val="3.b.Admisión semestre"/>
      <sheetName val="4.a.Cohortes año"/>
      <sheetName val="4.b.Cohortes semestre-ciclo"/>
      <sheetName val="5.a.Egresados año"/>
      <sheetName val="5.b.Egresados semestre-ciclo"/>
      <sheetName val="6.a.Titulados año"/>
      <sheetName val="6.b.Titulados semestre-CICLO"/>
      <sheetName val="7.a. Asignaturas y actividades "/>
      <sheetName val="7.b. Asignaturas optativas"/>
      <sheetName val="8. Actualización Plan estudios"/>
      <sheetName val="9. Consejo"/>
      <sheetName val="10. Académicos"/>
      <sheetName val="11. Caracterización docentes "/>
      <sheetName val="12. Jefes de práctica"/>
      <sheetName val="13. Perfeccionamiento académic"/>
      <sheetName val="14. Personal no académico"/>
      <sheetName val="15. Becas y ayudas internas"/>
      <sheetName val="16. Becas y ayudas externas"/>
      <sheetName val="17. Bienestar universitario"/>
      <sheetName val="18. Recursos de aprendizaje"/>
      <sheetName val="19. Desarrollo académico"/>
      <sheetName val="20. Proyectos de investigación"/>
      <sheetName val="21. Desarrollo profesional"/>
      <sheetName val="22. Artículos"/>
      <sheetName val="23. Libros o Capítulos de libro"/>
      <sheetName val="24. Obra de creación"/>
      <sheetName val="25. Patentes"/>
      <sheetName val="26. Redes"/>
      <sheetName val="27. Extensión"/>
      <sheetName val="28. Prestación de servicio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3"/>
  <dimension ref="A1:G47"/>
  <sheetViews>
    <sheetView tabSelected="1" zoomScaleNormal="100" workbookViewId="0">
      <selection activeCell="I17" sqref="I17"/>
    </sheetView>
  </sheetViews>
  <sheetFormatPr baseColWidth="10" defaultColWidth="10.81640625" defaultRowHeight="14.5"/>
  <cols>
    <col min="1" max="1" width="7.1796875" style="24" customWidth="1"/>
    <col min="2" max="2" width="4.81640625" style="24" customWidth="1"/>
    <col min="3" max="3" width="10.81640625" style="24"/>
    <col min="4" max="4" width="7.1796875" style="24" customWidth="1"/>
    <col min="5" max="16384" width="10.81640625" style="24"/>
  </cols>
  <sheetData>
    <row r="1" spans="1:7" ht="59.5" customHeight="1">
      <c r="A1" s="23"/>
      <c r="B1" s="23"/>
      <c r="C1" s="23"/>
      <c r="E1" s="25" t="s">
        <v>97</v>
      </c>
    </row>
    <row r="2" spans="1:7" ht="30" customHeight="1">
      <c r="A2" s="23"/>
      <c r="B2" s="23"/>
      <c r="C2" s="23"/>
    </row>
    <row r="3" spans="1:7">
      <c r="A3" s="23"/>
      <c r="B3" s="23"/>
      <c r="C3" s="23"/>
    </row>
    <row r="4" spans="1:7" ht="15.5">
      <c r="A4" s="23"/>
      <c r="B4" s="268" t="s">
        <v>96</v>
      </c>
      <c r="C4" s="268"/>
    </row>
    <row r="5" spans="1:7" ht="15.5">
      <c r="A5" s="23"/>
      <c r="B5" s="268"/>
      <c r="C5" s="268"/>
    </row>
    <row r="6" spans="1:7" ht="17.149999999999999" customHeight="1">
      <c r="A6" s="23"/>
      <c r="B6" s="272" t="s">
        <v>458</v>
      </c>
      <c r="C6" s="272"/>
      <c r="D6" s="273"/>
    </row>
    <row r="7" spans="1:7" ht="17.149999999999999" customHeight="1">
      <c r="A7" s="23"/>
      <c r="B7" s="268"/>
      <c r="C7" s="311" t="s">
        <v>513</v>
      </c>
    </row>
    <row r="8" spans="1:7" ht="17.149999999999999" customHeight="1">
      <c r="A8" s="23"/>
      <c r="B8" s="268"/>
      <c r="C8" s="310"/>
    </row>
    <row r="9" spans="1:7" ht="17.149999999999999" customHeight="1">
      <c r="B9" s="268" t="s">
        <v>88</v>
      </c>
      <c r="C9" s="269"/>
    </row>
    <row r="10" spans="1:7" ht="17.149999999999999" customHeight="1">
      <c r="B10" s="276"/>
      <c r="C10" s="277" t="s">
        <v>87</v>
      </c>
      <c r="D10" s="278"/>
      <c r="E10" s="278"/>
      <c r="F10" s="278"/>
    </row>
    <row r="11" spans="1:7" ht="17.149999999999999" customHeight="1">
      <c r="A11" s="213"/>
      <c r="B11" s="279"/>
      <c r="C11" s="280"/>
      <c r="D11" s="281"/>
      <c r="E11" s="281"/>
      <c r="F11" s="278"/>
    </row>
    <row r="12" spans="1:7" ht="17.149999999999999" customHeight="1">
      <c r="A12" s="213"/>
      <c r="B12" s="271" t="s">
        <v>456</v>
      </c>
      <c r="C12" s="270"/>
      <c r="D12" s="213"/>
      <c r="E12" s="213"/>
    </row>
    <row r="13" spans="1:7" ht="17.149999999999999" customHeight="1">
      <c r="A13" s="28"/>
      <c r="B13" s="284"/>
      <c r="C13" s="285" t="s">
        <v>457</v>
      </c>
      <c r="D13" s="286"/>
      <c r="E13" s="286"/>
    </row>
    <row r="14" spans="1:7" ht="17.149999999999999" customHeight="1">
      <c r="A14" s="28"/>
      <c r="B14" s="132"/>
      <c r="C14" s="132"/>
      <c r="D14" s="28"/>
      <c r="E14" s="28"/>
    </row>
    <row r="15" spans="1:7" ht="17.149999999999999" customHeight="1">
      <c r="B15" s="268" t="s">
        <v>89</v>
      </c>
      <c r="C15" s="269"/>
    </row>
    <row r="16" spans="1:7" ht="17.149999999999999" customHeight="1">
      <c r="A16" s="278"/>
      <c r="B16" s="282"/>
      <c r="C16" s="311" t="s">
        <v>644</v>
      </c>
      <c r="D16" s="278"/>
      <c r="E16" s="278"/>
      <c r="F16" s="278"/>
      <c r="G16" s="267"/>
    </row>
    <row r="17" spans="1:7" ht="17.149999999999999" customHeight="1">
      <c r="A17" s="278"/>
      <c r="B17" s="276"/>
      <c r="C17" s="343" t="s">
        <v>643</v>
      </c>
      <c r="D17" s="278"/>
      <c r="E17" s="278"/>
      <c r="F17" s="278"/>
    </row>
    <row r="18" spans="1:7" ht="17.149999999999999" customHeight="1">
      <c r="A18" s="278"/>
      <c r="B18" s="276"/>
      <c r="C18" s="344" t="s">
        <v>645</v>
      </c>
      <c r="D18" s="278"/>
      <c r="E18" s="278"/>
      <c r="F18" s="278"/>
    </row>
    <row r="19" spans="1:7" ht="17.149999999999999" customHeight="1">
      <c r="A19" s="278"/>
      <c r="B19" s="276"/>
      <c r="C19" s="275" t="s">
        <v>646</v>
      </c>
      <c r="D19" s="278"/>
      <c r="E19" s="278"/>
      <c r="F19" s="278"/>
    </row>
    <row r="20" spans="1:7" ht="17.149999999999999" customHeight="1">
      <c r="A20" s="278"/>
      <c r="B20" s="276"/>
      <c r="C20" s="283" t="s">
        <v>459</v>
      </c>
      <c r="D20" s="278"/>
      <c r="E20" s="278"/>
      <c r="F20" s="278"/>
    </row>
    <row r="21" spans="1:7" ht="17.149999999999999" customHeight="1">
      <c r="A21" s="278"/>
      <c r="B21" s="276"/>
      <c r="C21" s="283" t="s">
        <v>460</v>
      </c>
      <c r="D21" s="278"/>
      <c r="E21" s="278"/>
      <c r="F21" s="278"/>
    </row>
    <row r="22" spans="1:7" ht="17.149999999999999" customHeight="1">
      <c r="A22" s="278"/>
      <c r="B22" s="276"/>
      <c r="C22" s="283" t="s">
        <v>461</v>
      </c>
      <c r="D22" s="278"/>
      <c r="E22" s="278"/>
      <c r="F22" s="278"/>
    </row>
    <row r="23" spans="1:7" ht="17.149999999999999" customHeight="1">
      <c r="B23" s="269"/>
      <c r="C23" s="275"/>
    </row>
    <row r="24" spans="1:7" ht="17.149999999999999" customHeight="1">
      <c r="B24" s="268" t="s">
        <v>90</v>
      </c>
      <c r="C24" s="269"/>
    </row>
    <row r="25" spans="1:7" ht="17.149999999999999" customHeight="1">
      <c r="B25" s="276"/>
      <c r="C25" s="283" t="s">
        <v>462</v>
      </c>
      <c r="D25" s="278"/>
      <c r="E25" s="278"/>
      <c r="F25" s="278"/>
      <c r="G25" s="278"/>
    </row>
    <row r="26" spans="1:7" ht="17.149999999999999" customHeight="1">
      <c r="B26" s="276"/>
      <c r="C26" s="283" t="s">
        <v>463</v>
      </c>
      <c r="D26" s="278"/>
      <c r="E26" s="278"/>
      <c r="F26" s="278"/>
      <c r="G26" s="278"/>
    </row>
    <row r="27" spans="1:7" ht="17.149999999999999" customHeight="1">
      <c r="B27" s="276"/>
      <c r="C27" s="283" t="s">
        <v>535</v>
      </c>
      <c r="D27" s="278"/>
      <c r="E27" s="278"/>
      <c r="F27" s="278"/>
      <c r="G27" s="278"/>
    </row>
    <row r="28" spans="1:7" ht="17.149999999999999" customHeight="1">
      <c r="B28" s="276"/>
      <c r="C28" s="283" t="s">
        <v>464</v>
      </c>
      <c r="D28" s="278"/>
      <c r="E28" s="278"/>
      <c r="F28" s="278"/>
      <c r="G28" s="278"/>
    </row>
    <row r="29" spans="1:7" ht="17.149999999999999" customHeight="1">
      <c r="B29" s="276"/>
      <c r="C29" s="283" t="s">
        <v>465</v>
      </c>
      <c r="D29" s="278"/>
      <c r="E29" s="278"/>
      <c r="F29" s="278"/>
      <c r="G29" s="278"/>
    </row>
    <row r="30" spans="1:7" ht="17.149999999999999" customHeight="1">
      <c r="B30" s="276"/>
      <c r="C30" s="283" t="s">
        <v>466</v>
      </c>
      <c r="D30" s="278"/>
      <c r="E30" s="278"/>
      <c r="F30" s="278"/>
      <c r="G30" s="278"/>
    </row>
    <row r="31" spans="1:7" ht="17.149999999999999" customHeight="1">
      <c r="B31" s="276"/>
      <c r="C31" s="283" t="s">
        <v>467</v>
      </c>
      <c r="D31" s="278"/>
      <c r="E31" s="278"/>
      <c r="F31" s="278"/>
      <c r="G31" s="278"/>
    </row>
    <row r="32" spans="1:7" ht="17.149999999999999" customHeight="1">
      <c r="B32" s="276"/>
      <c r="C32" s="283" t="s">
        <v>468</v>
      </c>
      <c r="D32" s="278"/>
      <c r="E32" s="278"/>
      <c r="F32" s="278"/>
      <c r="G32" s="278"/>
    </row>
    <row r="33" spans="2:7" ht="17.149999999999999" customHeight="1">
      <c r="B33" s="276"/>
      <c r="C33" s="283" t="s">
        <v>469</v>
      </c>
      <c r="D33" s="278"/>
      <c r="E33" s="278"/>
      <c r="F33" s="278"/>
      <c r="G33" s="278"/>
    </row>
    <row r="34" spans="2:7" ht="17.149999999999999" customHeight="1">
      <c r="B34" s="276"/>
      <c r="C34" s="283" t="s">
        <v>470</v>
      </c>
      <c r="D34" s="278"/>
      <c r="E34" s="278"/>
      <c r="F34" s="278"/>
      <c r="G34" s="278"/>
    </row>
    <row r="35" spans="2:7" ht="17.149999999999999" customHeight="1">
      <c r="B35" s="269"/>
      <c r="C35" s="274"/>
    </row>
    <row r="36" spans="2:7" ht="17.149999999999999" customHeight="1">
      <c r="B36" s="268" t="s">
        <v>91</v>
      </c>
      <c r="C36" s="269"/>
    </row>
    <row r="37" spans="2:7" ht="17.149999999999999" customHeight="1">
      <c r="B37" s="276"/>
      <c r="C37" s="283" t="s">
        <v>471</v>
      </c>
      <c r="D37" s="278"/>
      <c r="E37" s="278"/>
    </row>
    <row r="38" spans="2:7" ht="17.149999999999999" customHeight="1">
      <c r="B38" s="276"/>
      <c r="C38" s="283" t="s">
        <v>472</v>
      </c>
      <c r="D38" s="278"/>
      <c r="E38" s="278"/>
    </row>
    <row r="39" spans="2:7" ht="17.149999999999999" customHeight="1">
      <c r="B39" s="276"/>
      <c r="C39" s="283" t="s">
        <v>473</v>
      </c>
      <c r="D39" s="278"/>
      <c r="E39" s="278"/>
    </row>
    <row r="40" spans="2:7" ht="17.149999999999999" customHeight="1">
      <c r="B40" s="276"/>
      <c r="C40" s="287" t="s">
        <v>474</v>
      </c>
      <c r="D40" s="278"/>
      <c r="E40" s="278"/>
    </row>
    <row r="41" spans="2:7" ht="17.149999999999999" customHeight="1">
      <c r="B41" s="276"/>
      <c r="C41" s="283" t="s">
        <v>475</v>
      </c>
      <c r="D41" s="278"/>
      <c r="E41" s="278"/>
    </row>
    <row r="42" spans="2:7" ht="17.149999999999999" customHeight="1">
      <c r="B42" s="276"/>
      <c r="C42" s="283" t="s">
        <v>92</v>
      </c>
      <c r="D42" s="278"/>
      <c r="E42" s="278"/>
    </row>
    <row r="43" spans="2:7" ht="17.149999999999999" customHeight="1">
      <c r="B43" s="276"/>
      <c r="C43" s="283" t="s">
        <v>93</v>
      </c>
      <c r="D43" s="278"/>
      <c r="E43" s="278"/>
    </row>
    <row r="44" spans="2:7" ht="17.149999999999999" customHeight="1">
      <c r="B44" s="276"/>
      <c r="C44" s="283" t="s">
        <v>476</v>
      </c>
      <c r="D44" s="278"/>
      <c r="E44" s="278"/>
    </row>
    <row r="45" spans="2:7" ht="17.149999999999999" customHeight="1">
      <c r="B45" s="276"/>
      <c r="C45" s="283" t="s">
        <v>477</v>
      </c>
      <c r="D45" s="278"/>
      <c r="E45" s="278"/>
    </row>
    <row r="46" spans="2:7" ht="17.149999999999999" customHeight="1">
      <c r="B46" s="276"/>
      <c r="C46" s="283" t="s">
        <v>480</v>
      </c>
      <c r="D46" s="278"/>
      <c r="E46" s="278"/>
    </row>
    <row r="47" spans="2:7">
      <c r="B47" s="278"/>
      <c r="C47" s="278"/>
      <c r="D47" s="278"/>
      <c r="E47" s="278"/>
    </row>
  </sheetData>
  <hyperlinks>
    <hyperlink ref="C10" location="'1. Identificación carrera'!A1" display="1. Identificación de la carrera " xr:uid="{00000000-0004-0000-0000-000000000000}"/>
    <hyperlink ref="C16" location="'3. Admisión ciclo-semestre'!A1" display="3. Admisión por año" xr:uid="{00000000-0004-0000-0000-000001000000}"/>
    <hyperlink ref="C17" location="'4. Cohortes ciclo-semestre'!A1" display="4. Cohortes por año" xr:uid="{00000000-0004-0000-0000-000003000000}"/>
    <hyperlink ref="C18" location="'5.Egresados ciclo-semestre'!A1" display="5. Egresados por año" xr:uid="{00000000-0004-0000-0000-000005000000}"/>
    <hyperlink ref="B6:D6" location="'Instructivo general '!A1" display="Instructivo general" xr:uid="{00000000-0004-0000-0000-000007000000}"/>
    <hyperlink ref="C13" location="'2. Líneas de investigación '!A1" display="2. Líneas de investigación" xr:uid="{00000000-0004-0000-0000-000008000000}"/>
    <hyperlink ref="C19" location="'6. Titulados ciclo-semestre'!A1" display="6. Titulados por ciclo-semestre" xr:uid="{00000000-0004-0000-0000-000009000000}"/>
    <hyperlink ref="C20" location="'7.a. Asignaturas y actividades '!A1" display="7.a. Asignaturas y actvidades lectivas" xr:uid="{00000000-0004-0000-0000-00000B000000}"/>
    <hyperlink ref="C21" location="'7.b. Asignaturas optativas'!A1" display="7.b. Asignaturas optativas" xr:uid="{00000000-0004-0000-0000-00000C000000}"/>
    <hyperlink ref="C22" location="'8. Actualización Plan estudios'!A1" display="8. Actualización del Plan de estudios" xr:uid="{00000000-0004-0000-0000-00000D000000}"/>
    <hyperlink ref="C25" location="'9. Consejo'!A1" display="9. Consejo " xr:uid="{00000000-0004-0000-0000-00000E000000}"/>
    <hyperlink ref="C26" location="'10. Académicos'!A1" display="10. Académicos " xr:uid="{00000000-0004-0000-0000-00000F000000}"/>
    <hyperlink ref="C27" location="'11. Caracterización docentes '!A1" display="11. Caracterización docentes " xr:uid="{00000000-0004-0000-0000-000010000000}"/>
    <hyperlink ref="C28" location="'12. Jefes de práctica'!A1" display="12. Jefes de práctica " xr:uid="{00000000-0004-0000-0000-000011000000}"/>
    <hyperlink ref="C29" location="'13. Perfeccionamiento académic'!A1" display="13. Perfeccionamiento académico" xr:uid="{00000000-0004-0000-0000-000012000000}"/>
    <hyperlink ref="C30" location="'14. Personal no académico'!A1" display="14. Personal no académico " xr:uid="{00000000-0004-0000-0000-000013000000}"/>
    <hyperlink ref="C31" location="'15. Becas y ayudas internas'!A1" display="15. Becas y ayudas internas " xr:uid="{00000000-0004-0000-0000-000014000000}"/>
    <hyperlink ref="C32" location="'16. Becas y ayudas externas'!A1" display="16. Becas y ayudas externas " xr:uid="{00000000-0004-0000-0000-000015000000}"/>
    <hyperlink ref="C33" location="'17 Bienestar universitario'!A1" display="17. Bienestar universitaro " xr:uid="{00000000-0004-0000-0000-000016000000}"/>
    <hyperlink ref="C34" location="'18. Recursos de aprendizaje'!A1" display="18. Recursos de aprendizaje " xr:uid="{00000000-0004-0000-0000-000017000000}"/>
    <hyperlink ref="C37" location="'19. Desarrollo académico'!A1" display="19. Desarrollo académico" xr:uid="{00000000-0004-0000-0000-000018000000}"/>
    <hyperlink ref="C38" location="'20. Proyectos de investigación'!A1" display="20. Proyectos de investigación" xr:uid="{00000000-0004-0000-0000-000019000000}"/>
    <hyperlink ref="C39" location="'21. Desarrollo profesional'!A1" display="21. Desarrollo profesional" xr:uid="{00000000-0004-0000-0000-00001A000000}"/>
    <hyperlink ref="C40" location="'22. Artículos'!A1" display="22. Articulos" xr:uid="{00000000-0004-0000-0000-00001B000000}"/>
    <hyperlink ref="C41" location="'23. Libros o Capítulos de libro'!A1" display="23. Libros o capítulos de libro " xr:uid="{00000000-0004-0000-0000-00001C000000}"/>
    <hyperlink ref="C42" location="'24. Obra de creación'!A1" display="24. Obras de creación " xr:uid="{00000000-0004-0000-0000-00001D000000}"/>
    <hyperlink ref="C43" location="'25. Patentes'!A1" display="25. Patentes " xr:uid="{00000000-0004-0000-0000-00001E000000}"/>
    <hyperlink ref="C44" location="'26. Redes'!A1" display="26. Redes" xr:uid="{00000000-0004-0000-0000-00001F000000}"/>
    <hyperlink ref="C45" location="'27. Extensión'!A1" display="27. Extensión" xr:uid="{00000000-0004-0000-0000-000020000000}"/>
    <hyperlink ref="C46" location="'28. Prestación de servicios'!A1" display="28. prestación de servicios" xr:uid="{00000000-0004-0000-0000-000021000000}"/>
    <hyperlink ref="C7" location="'0. Resumen Estadístico'!A1" display="0. Resúmen estadístico" xr:uid="{7F55B5D6-6499-44C2-A52F-5338D76239B3}"/>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zoomScale="120" zoomScaleNormal="120" workbookViewId="0"/>
  </sheetViews>
  <sheetFormatPr baseColWidth="10" defaultRowHeight="14.5"/>
  <cols>
    <col min="1" max="1" width="96.81640625" customWidth="1"/>
  </cols>
  <sheetData>
    <row r="1" spans="1:4" ht="15" customHeight="1">
      <c r="A1" s="245" t="s">
        <v>293</v>
      </c>
      <c r="B1" s="245"/>
      <c r="C1" s="28"/>
      <c r="D1" s="28"/>
    </row>
    <row r="2" spans="1:4" ht="15" customHeight="1">
      <c r="A2" s="245"/>
      <c r="B2" s="245"/>
      <c r="C2" s="28"/>
      <c r="D2" s="28"/>
    </row>
    <row r="3" spans="1:4" ht="51" customHeight="1">
      <c r="A3" s="244" t="s">
        <v>404</v>
      </c>
      <c r="B3" s="224"/>
      <c r="C3" s="28"/>
      <c r="D3" s="28"/>
    </row>
    <row r="4" spans="1:4" ht="66" customHeight="1">
      <c r="A4" s="242" t="s">
        <v>405</v>
      </c>
      <c r="B4" s="224"/>
      <c r="C4" s="28"/>
      <c r="D4" s="28"/>
    </row>
    <row r="5" spans="1:4" ht="60" customHeight="1">
      <c r="A5" s="243" t="s">
        <v>406</v>
      </c>
      <c r="B5" s="224"/>
      <c r="C5" s="28"/>
      <c r="D5" s="28"/>
    </row>
    <row r="6" spans="1:4" ht="63.75" customHeight="1">
      <c r="A6" s="244" t="s">
        <v>407</v>
      </c>
      <c r="B6" s="224"/>
      <c r="C6" s="28"/>
      <c r="D6" s="28"/>
    </row>
    <row r="7" spans="1:4" ht="97.5" customHeight="1">
      <c r="A7" s="244" t="s">
        <v>408</v>
      </c>
      <c r="B7" s="224"/>
      <c r="C7" s="28"/>
      <c r="D7" s="28"/>
    </row>
    <row r="8" spans="1:4" ht="58.5" customHeight="1">
      <c r="A8" s="342" t="s">
        <v>539</v>
      </c>
      <c r="B8" s="28"/>
      <c r="C8" s="28"/>
      <c r="D8" s="28"/>
    </row>
    <row r="9" spans="1:4">
      <c r="A9" s="28"/>
      <c r="B9" s="28"/>
      <c r="C9" s="28"/>
      <c r="D9" s="28"/>
    </row>
    <row r="10" spans="1:4">
      <c r="A10" s="28"/>
      <c r="B10" s="28"/>
      <c r="C10" s="28"/>
      <c r="D10" s="28"/>
    </row>
    <row r="11" spans="1:4">
      <c r="A11" s="28"/>
      <c r="B11" s="28"/>
      <c r="C11" s="28"/>
      <c r="D11" s="2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02C7F-2D94-4680-9321-2A1E952FB214}">
  <sheetPr>
    <tabColor theme="5"/>
  </sheetPr>
  <dimension ref="A1:Q128"/>
  <sheetViews>
    <sheetView zoomScaleNormal="100" workbookViewId="0">
      <selection activeCell="R9" sqref="R9"/>
    </sheetView>
  </sheetViews>
  <sheetFormatPr baseColWidth="10" defaultColWidth="10.81640625" defaultRowHeight="15.5"/>
  <cols>
    <col min="1" max="1" width="2.1796875" style="224" customWidth="1"/>
    <col min="2" max="2" width="1.54296875" style="224" customWidth="1"/>
    <col min="3" max="6" width="13.1796875" style="322" customWidth="1"/>
    <col min="7" max="17" width="10.81640625" style="322"/>
    <col min="18" max="16384" width="10.81640625" style="323"/>
  </cols>
  <sheetData>
    <row r="1" spans="1:17">
      <c r="B1" s="322" t="s">
        <v>521</v>
      </c>
      <c r="E1" s="340" t="s">
        <v>522</v>
      </c>
      <c r="F1" s="322">
        <f>'1. Identificación carrera'!B6</f>
        <v>0</v>
      </c>
      <c r="I1" s="340" t="s">
        <v>523</v>
      </c>
      <c r="J1" s="322">
        <f>'1. Identificación carrera'!B7</f>
        <v>0</v>
      </c>
    </row>
    <row r="2" spans="1:17">
      <c r="B2" s="322"/>
    </row>
    <row r="3" spans="1:17" s="224" customFormat="1" ht="44.25" customHeight="1">
      <c r="B3" s="359" t="s">
        <v>540</v>
      </c>
      <c r="C3" s="359"/>
      <c r="D3" s="359"/>
      <c r="E3" s="359"/>
      <c r="F3" s="359"/>
      <c r="G3" s="359"/>
      <c r="H3" s="359"/>
      <c r="I3" s="359"/>
      <c r="J3" s="359"/>
      <c r="K3" s="359"/>
      <c r="L3" s="359"/>
      <c r="M3" s="359"/>
      <c r="N3" s="359"/>
      <c r="O3" s="359"/>
      <c r="P3" s="359"/>
      <c r="Q3" s="322"/>
    </row>
    <row r="4" spans="1:17" ht="8.5" customHeight="1">
      <c r="B4" s="322"/>
    </row>
    <row r="5" spans="1:17" s="325" customFormat="1">
      <c r="A5" s="224"/>
      <c r="B5" s="358" t="s">
        <v>520</v>
      </c>
      <c r="C5" s="358"/>
      <c r="D5" s="358"/>
      <c r="E5" s="358"/>
      <c r="F5" s="358"/>
      <c r="G5" s="358"/>
      <c r="H5" s="358"/>
      <c r="I5" s="358"/>
      <c r="J5" s="358"/>
      <c r="K5" s="358"/>
      <c r="L5" s="358"/>
      <c r="M5" s="358"/>
      <c r="N5" s="358"/>
      <c r="O5" s="358"/>
      <c r="P5" s="358"/>
      <c r="Q5" s="324"/>
    </row>
    <row r="6" spans="1:17" ht="16" thickBot="1"/>
    <row r="7" spans="1:17">
      <c r="B7" s="326"/>
      <c r="C7" s="327"/>
      <c r="D7" s="327"/>
      <c r="E7" s="327"/>
      <c r="F7" s="327"/>
      <c r="G7" s="327"/>
      <c r="H7" s="327"/>
      <c r="I7" s="327"/>
      <c r="J7" s="327"/>
      <c r="K7" s="327"/>
      <c r="L7" s="327"/>
      <c r="M7" s="327"/>
      <c r="N7" s="327"/>
      <c r="O7" s="327"/>
      <c r="P7" s="328"/>
    </row>
    <row r="8" spans="1:17">
      <c r="B8" s="329"/>
      <c r="P8" s="330"/>
    </row>
    <row r="9" spans="1:17" ht="35.5" customHeight="1">
      <c r="B9" s="329"/>
      <c r="C9" s="360" t="s">
        <v>517</v>
      </c>
      <c r="D9" s="360"/>
      <c r="E9" s="360"/>
      <c r="F9" s="360"/>
      <c r="P9" s="330"/>
    </row>
    <row r="10" spans="1:17" ht="36.5" customHeight="1">
      <c r="B10" s="329"/>
      <c r="C10" s="292" t="s">
        <v>642</v>
      </c>
      <c r="D10" s="292" t="s">
        <v>514</v>
      </c>
      <c r="E10" s="292" t="s">
        <v>516</v>
      </c>
      <c r="F10" s="292" t="s">
        <v>515</v>
      </c>
      <c r="P10" s="330"/>
    </row>
    <row r="11" spans="1:17" ht="17" customHeight="1">
      <c r="B11" s="329"/>
      <c r="C11" s="331" t="str">
        <f>'3. Admisión ciclo-semestre'!A9</f>
        <v>2022-I</v>
      </c>
      <c r="D11" s="332">
        <f>'3. Admisión ciclo-semestre'!F9</f>
        <v>0</v>
      </c>
      <c r="E11" s="331">
        <f>'3. Admisión ciclo-semestre'!G9</f>
        <v>0</v>
      </c>
      <c r="F11" s="331">
        <f>SUM('4. Cohortes ciclo-semestre'!L18:U18)</f>
        <v>0</v>
      </c>
      <c r="P11" s="330"/>
    </row>
    <row r="12" spans="1:17" ht="17" customHeight="1">
      <c r="B12" s="329"/>
      <c r="C12" s="331" t="str">
        <f>'3. Admisión ciclo-semestre'!A10</f>
        <v>2022-II</v>
      </c>
      <c r="D12" s="332">
        <f>'3. Admisión ciclo-semestre'!F10</f>
        <v>0</v>
      </c>
      <c r="E12" s="331">
        <f>'3. Admisión ciclo-semestre'!G10</f>
        <v>0</v>
      </c>
      <c r="F12" s="331">
        <f>SUM('4. Cohortes ciclo-semestre'!M19:U19)</f>
        <v>0</v>
      </c>
      <c r="P12" s="330"/>
    </row>
    <row r="13" spans="1:17" ht="17" customHeight="1">
      <c r="B13" s="329"/>
      <c r="C13" s="331" t="str">
        <f>'3. Admisión ciclo-semestre'!A11</f>
        <v>2023-I</v>
      </c>
      <c r="D13" s="332">
        <f>'3. Admisión ciclo-semestre'!F11</f>
        <v>0</v>
      </c>
      <c r="E13" s="331">
        <f>'3. Admisión ciclo-semestre'!G11</f>
        <v>0</v>
      </c>
      <c r="F13" s="331">
        <f>SUM('4. Cohortes ciclo-semestre'!N20:U20)</f>
        <v>0</v>
      </c>
      <c r="P13" s="330"/>
    </row>
    <row r="14" spans="1:17" ht="17" customHeight="1">
      <c r="B14" s="329"/>
      <c r="C14" s="331" t="str">
        <f>'3. Admisión ciclo-semestre'!A12</f>
        <v>2023-II</v>
      </c>
      <c r="D14" s="332">
        <f>'3. Admisión ciclo-semestre'!F12</f>
        <v>0</v>
      </c>
      <c r="E14" s="331">
        <f>'3. Admisión ciclo-semestre'!G12</f>
        <v>0</v>
      </c>
      <c r="F14" s="331">
        <f>SUM('4. Cohortes ciclo-semestre'!O21:U21)</f>
        <v>0</v>
      </c>
      <c r="P14" s="330"/>
    </row>
    <row r="15" spans="1:17" ht="17" customHeight="1">
      <c r="B15" s="329"/>
      <c r="C15" s="331" t="str">
        <f>'3. Admisión ciclo-semestre'!A13</f>
        <v>2024-I</v>
      </c>
      <c r="D15" s="332">
        <f>'3. Admisión ciclo-semestre'!F13</f>
        <v>0</v>
      </c>
      <c r="E15" s="331">
        <f>'3. Admisión ciclo-semestre'!G13</f>
        <v>0</v>
      </c>
      <c r="F15" s="331">
        <f>SUM('4. Cohortes ciclo-semestre'!P22:U22)</f>
        <v>0</v>
      </c>
      <c r="P15" s="330"/>
    </row>
    <row r="16" spans="1:17" ht="17" customHeight="1">
      <c r="B16" s="329"/>
      <c r="C16" s="331" t="str">
        <f>'3. Admisión ciclo-semestre'!A14</f>
        <v>2024-II</v>
      </c>
      <c r="D16" s="332">
        <f>'3. Admisión ciclo-semestre'!F14</f>
        <v>0</v>
      </c>
      <c r="E16" s="331">
        <f>'3. Admisión ciclo-semestre'!G14</f>
        <v>0</v>
      </c>
      <c r="F16" s="331">
        <f>SUM('4. Cohortes ciclo-semestre'!Q23:U23)</f>
        <v>0</v>
      </c>
      <c r="P16" s="330"/>
    </row>
    <row r="17" spans="2:16" ht="17" customHeight="1">
      <c r="B17" s="329"/>
      <c r="C17" s="331" t="str">
        <f>'3. Admisión ciclo-semestre'!A15</f>
        <v>2025-I</v>
      </c>
      <c r="D17" s="332">
        <f>'3. Admisión ciclo-semestre'!F15</f>
        <v>0</v>
      </c>
      <c r="E17" s="331">
        <f>'3. Admisión ciclo-semestre'!G15</f>
        <v>0</v>
      </c>
      <c r="F17" s="331">
        <f>SUM('4. Cohortes ciclo-semestre'!R24:U24)</f>
        <v>0</v>
      </c>
      <c r="P17" s="330"/>
    </row>
    <row r="18" spans="2:16" ht="17" customHeight="1">
      <c r="B18" s="329"/>
      <c r="C18" s="331" t="str">
        <f>'3. Admisión ciclo-semestre'!A16</f>
        <v>2025-II</v>
      </c>
      <c r="D18" s="332">
        <f>'3. Admisión ciclo-semestre'!F16</f>
        <v>0</v>
      </c>
      <c r="E18" s="331">
        <f>'3. Admisión ciclo-semestre'!G16</f>
        <v>0</v>
      </c>
      <c r="F18" s="331">
        <f>SUM('4. Cohortes ciclo-semestre'!S25:U25)</f>
        <v>0</v>
      </c>
      <c r="P18" s="330"/>
    </row>
    <row r="19" spans="2:16" ht="17" customHeight="1">
      <c r="B19" s="329"/>
      <c r="C19" s="331" t="str">
        <f>'3. Admisión ciclo-semestre'!A17</f>
        <v>2026-I</v>
      </c>
      <c r="D19" s="332">
        <f>'3. Admisión ciclo-semestre'!F17</f>
        <v>0</v>
      </c>
      <c r="E19" s="331">
        <f>'3. Admisión ciclo-semestre'!G17</f>
        <v>0</v>
      </c>
      <c r="F19" s="331">
        <f>SUM('4. Cohortes ciclo-semestre'!T26:U26)</f>
        <v>0</v>
      </c>
      <c r="P19" s="330"/>
    </row>
    <row r="20" spans="2:16" ht="17" customHeight="1">
      <c r="B20" s="329"/>
      <c r="C20" s="331" t="str">
        <f>'3. Admisión ciclo-semestre'!A18</f>
        <v>2026-II</v>
      </c>
      <c r="D20" s="332">
        <f>'3. Admisión ciclo-semestre'!F18</f>
        <v>0</v>
      </c>
      <c r="E20" s="331">
        <f>'3. Admisión ciclo-semestre'!G18</f>
        <v>0</v>
      </c>
      <c r="F20" s="331">
        <f>'4. Cohortes ciclo-semestre'!U27</f>
        <v>0</v>
      </c>
      <c r="P20" s="330"/>
    </row>
    <row r="21" spans="2:16">
      <c r="B21" s="329"/>
      <c r="D21" s="333"/>
      <c r="E21" s="334"/>
      <c r="F21" s="334"/>
      <c r="P21" s="330"/>
    </row>
    <row r="22" spans="2:16" ht="16" thickBot="1">
      <c r="B22" s="335"/>
      <c r="C22" s="336"/>
      <c r="D22" s="337"/>
      <c r="E22" s="338"/>
      <c r="F22" s="338"/>
      <c r="G22" s="336"/>
      <c r="H22" s="336"/>
      <c r="I22" s="336"/>
      <c r="J22" s="336"/>
      <c r="K22" s="336"/>
      <c r="L22" s="336"/>
      <c r="M22" s="336"/>
      <c r="N22" s="336"/>
      <c r="O22" s="336"/>
      <c r="P22" s="339"/>
    </row>
    <row r="23" spans="2:16">
      <c r="B23" s="326"/>
      <c r="C23" s="327"/>
      <c r="D23" s="327"/>
      <c r="E23" s="327"/>
      <c r="F23" s="327"/>
      <c r="G23" s="327"/>
      <c r="H23" s="327"/>
      <c r="I23" s="327"/>
      <c r="J23" s="327"/>
      <c r="K23" s="327"/>
      <c r="L23" s="327"/>
      <c r="M23" s="327"/>
      <c r="N23" s="327"/>
      <c r="O23" s="327"/>
      <c r="P23" s="328"/>
    </row>
    <row r="24" spans="2:16" ht="35.5" customHeight="1">
      <c r="B24" s="329"/>
      <c r="C24" s="360" t="s">
        <v>482</v>
      </c>
      <c r="D24" s="360"/>
      <c r="E24" s="360"/>
      <c r="P24" s="330"/>
    </row>
    <row r="25" spans="2:16" ht="31">
      <c r="B25" s="329"/>
      <c r="C25" s="351" t="s">
        <v>642</v>
      </c>
      <c r="D25" s="292" t="s">
        <v>518</v>
      </c>
      <c r="E25" s="292" t="s">
        <v>519</v>
      </c>
      <c r="P25" s="330"/>
    </row>
    <row r="26" spans="2:16" ht="17" customHeight="1">
      <c r="B26" s="329"/>
      <c r="C26" s="331" t="str">
        <f>'3. Admisión ciclo-semestre'!A9</f>
        <v>2022-I</v>
      </c>
      <c r="D26" s="332">
        <f>'3. Admisión ciclo-semestre'!H9</f>
        <v>0</v>
      </c>
      <c r="E26" s="332">
        <f>'3. Admisión ciclo-semestre'!I9</f>
        <v>0</v>
      </c>
      <c r="P26" s="330"/>
    </row>
    <row r="27" spans="2:16" ht="17" customHeight="1">
      <c r="B27" s="329"/>
      <c r="C27" s="331" t="str">
        <f>'3. Admisión ciclo-semestre'!A10</f>
        <v>2022-II</v>
      </c>
      <c r="D27" s="332">
        <f>'3. Admisión ciclo-semestre'!H10</f>
        <v>0</v>
      </c>
      <c r="E27" s="332">
        <f>'3. Admisión ciclo-semestre'!I10</f>
        <v>0</v>
      </c>
      <c r="P27" s="330"/>
    </row>
    <row r="28" spans="2:16" ht="17" customHeight="1">
      <c r="B28" s="329"/>
      <c r="C28" s="331" t="str">
        <f>'3. Admisión ciclo-semestre'!A11</f>
        <v>2023-I</v>
      </c>
      <c r="D28" s="332">
        <f>'3. Admisión ciclo-semestre'!H11</f>
        <v>0</v>
      </c>
      <c r="E28" s="332">
        <f>'3. Admisión ciclo-semestre'!I11</f>
        <v>0</v>
      </c>
      <c r="P28" s="330"/>
    </row>
    <row r="29" spans="2:16" ht="17" customHeight="1">
      <c r="B29" s="329"/>
      <c r="C29" s="331" t="str">
        <f>'3. Admisión ciclo-semestre'!A12</f>
        <v>2023-II</v>
      </c>
      <c r="D29" s="332">
        <f>'3. Admisión ciclo-semestre'!H12</f>
        <v>0</v>
      </c>
      <c r="E29" s="332">
        <f>'3. Admisión ciclo-semestre'!I12</f>
        <v>0</v>
      </c>
      <c r="P29" s="330"/>
    </row>
    <row r="30" spans="2:16" ht="17" customHeight="1">
      <c r="B30" s="329"/>
      <c r="C30" s="331" t="str">
        <f>'3. Admisión ciclo-semestre'!A13</f>
        <v>2024-I</v>
      </c>
      <c r="D30" s="332">
        <f>'3. Admisión ciclo-semestre'!H13</f>
        <v>0</v>
      </c>
      <c r="E30" s="332">
        <f>'3. Admisión ciclo-semestre'!I13</f>
        <v>0</v>
      </c>
      <c r="P30" s="330"/>
    </row>
    <row r="31" spans="2:16" ht="17" customHeight="1">
      <c r="B31" s="329"/>
      <c r="C31" s="331" t="str">
        <f>'3. Admisión ciclo-semestre'!A14</f>
        <v>2024-II</v>
      </c>
      <c r="D31" s="332">
        <f>'3. Admisión ciclo-semestre'!H14</f>
        <v>0</v>
      </c>
      <c r="E31" s="332">
        <f>'3. Admisión ciclo-semestre'!I14</f>
        <v>0</v>
      </c>
      <c r="P31" s="330"/>
    </row>
    <row r="32" spans="2:16" ht="17" customHeight="1">
      <c r="B32" s="329"/>
      <c r="C32" s="331" t="str">
        <f>'3. Admisión ciclo-semestre'!A15</f>
        <v>2025-I</v>
      </c>
      <c r="D32" s="332">
        <f>'3. Admisión ciclo-semestre'!H15</f>
        <v>0</v>
      </c>
      <c r="E32" s="332">
        <f>'3. Admisión ciclo-semestre'!I15</f>
        <v>0</v>
      </c>
      <c r="P32" s="330"/>
    </row>
    <row r="33" spans="2:16" ht="17" customHeight="1">
      <c r="B33" s="329"/>
      <c r="C33" s="331" t="str">
        <f>'3. Admisión ciclo-semestre'!A16</f>
        <v>2025-II</v>
      </c>
      <c r="D33" s="332">
        <f>'3. Admisión ciclo-semestre'!H16</f>
        <v>0</v>
      </c>
      <c r="E33" s="332">
        <f>'3. Admisión ciclo-semestre'!I16</f>
        <v>0</v>
      </c>
      <c r="P33" s="330"/>
    </row>
    <row r="34" spans="2:16" ht="17" customHeight="1">
      <c r="B34" s="329"/>
      <c r="C34" s="331" t="str">
        <f>'3. Admisión ciclo-semestre'!A17</f>
        <v>2026-I</v>
      </c>
      <c r="D34" s="332">
        <f>'3. Admisión ciclo-semestre'!H17</f>
        <v>0</v>
      </c>
      <c r="E34" s="332">
        <f>'3. Admisión ciclo-semestre'!I17</f>
        <v>0</v>
      </c>
      <c r="P34" s="330"/>
    </row>
    <row r="35" spans="2:16" ht="17" customHeight="1">
      <c r="B35" s="329"/>
      <c r="C35" s="331" t="str">
        <f>'3. Admisión ciclo-semestre'!A18</f>
        <v>2026-II</v>
      </c>
      <c r="D35" s="332">
        <f>'3. Admisión ciclo-semestre'!H18</f>
        <v>0</v>
      </c>
      <c r="E35" s="332">
        <f>'3. Admisión ciclo-semestre'!I18</f>
        <v>0</v>
      </c>
      <c r="P35" s="330"/>
    </row>
    <row r="36" spans="2:16">
      <c r="B36" s="329"/>
      <c r="P36" s="330"/>
    </row>
    <row r="37" spans="2:16" ht="16" thickBot="1">
      <c r="B37" s="335"/>
      <c r="C37" s="336"/>
      <c r="D37" s="336"/>
      <c r="E37" s="336"/>
      <c r="F37" s="336"/>
      <c r="G37" s="336"/>
      <c r="H37" s="336"/>
      <c r="I37" s="336"/>
      <c r="J37" s="336"/>
      <c r="K37" s="336"/>
      <c r="L37" s="336"/>
      <c r="M37" s="336"/>
      <c r="N37" s="336"/>
      <c r="O37" s="336"/>
      <c r="P37" s="339"/>
    </row>
    <row r="38" spans="2:16">
      <c r="B38" s="326"/>
      <c r="C38" s="327"/>
      <c r="D38" s="327"/>
      <c r="E38" s="327"/>
      <c r="F38" s="327"/>
      <c r="G38" s="327"/>
      <c r="H38" s="327"/>
      <c r="I38" s="327"/>
      <c r="J38" s="327"/>
      <c r="K38" s="327"/>
      <c r="L38" s="327"/>
      <c r="M38" s="327"/>
      <c r="N38" s="327"/>
      <c r="O38" s="327"/>
      <c r="P38" s="328"/>
    </row>
    <row r="39" spans="2:16">
      <c r="B39" s="329"/>
      <c r="P39" s="330"/>
    </row>
    <row r="40" spans="2:16" ht="25.5" customHeight="1">
      <c r="B40" s="329"/>
      <c r="C40" s="360" t="s">
        <v>525</v>
      </c>
      <c r="D40" s="360"/>
      <c r="E40" s="360"/>
      <c r="F40" s="360"/>
      <c r="P40" s="330"/>
    </row>
    <row r="41" spans="2:16" ht="46.5">
      <c r="B41" s="329"/>
      <c r="C41" s="292" t="s">
        <v>524</v>
      </c>
      <c r="D41" s="292" t="s">
        <v>16</v>
      </c>
      <c r="E41" s="292" t="s">
        <v>22</v>
      </c>
      <c r="F41" s="292" t="s">
        <v>17</v>
      </c>
      <c r="P41" s="330"/>
    </row>
    <row r="42" spans="2:16" ht="16" customHeight="1">
      <c r="B42" s="329"/>
      <c r="C42" s="331" t="str">
        <f>'4. Cohortes ciclo-semestre'!A8</f>
        <v>2017-I</v>
      </c>
      <c r="D42" s="341" t="e">
        <f>'4. Cohortes ciclo-semestre'!Y8</f>
        <v>#DIV/0!</v>
      </c>
      <c r="E42" s="341" t="e">
        <f>'4. Cohortes ciclo-semestre'!Z8</f>
        <v>#DIV/0!</v>
      </c>
      <c r="F42" s="341" t="e">
        <f>'4. Cohortes ciclo-semestre'!AA8</f>
        <v>#DIV/0!</v>
      </c>
      <c r="P42" s="330"/>
    </row>
    <row r="43" spans="2:16" ht="16" customHeight="1">
      <c r="B43" s="329"/>
      <c r="C43" s="331" t="str">
        <f>'4. Cohortes ciclo-semestre'!A9</f>
        <v>2017-II</v>
      </c>
      <c r="D43" s="341" t="e">
        <f>'4. Cohortes ciclo-semestre'!Y9</f>
        <v>#DIV/0!</v>
      </c>
      <c r="E43" s="341" t="e">
        <f>'4. Cohortes ciclo-semestre'!Z9</f>
        <v>#DIV/0!</v>
      </c>
      <c r="F43" s="341" t="e">
        <f>'4. Cohortes ciclo-semestre'!AA9</f>
        <v>#DIV/0!</v>
      </c>
      <c r="P43" s="330"/>
    </row>
    <row r="44" spans="2:16" ht="16" customHeight="1">
      <c r="B44" s="329"/>
      <c r="C44" s="331" t="str">
        <f>'4. Cohortes ciclo-semestre'!A10</f>
        <v>2018-I</v>
      </c>
      <c r="D44" s="341" t="e">
        <f>'4. Cohortes ciclo-semestre'!Y10</f>
        <v>#DIV/0!</v>
      </c>
      <c r="E44" s="341" t="e">
        <f>'4. Cohortes ciclo-semestre'!Z10</f>
        <v>#DIV/0!</v>
      </c>
      <c r="F44" s="341" t="e">
        <f>'4. Cohortes ciclo-semestre'!AA10</f>
        <v>#DIV/0!</v>
      </c>
      <c r="P44" s="330"/>
    </row>
    <row r="45" spans="2:16" ht="16" customHeight="1">
      <c r="B45" s="329"/>
      <c r="C45" s="331" t="str">
        <f>'4. Cohortes ciclo-semestre'!A11</f>
        <v>2018-II</v>
      </c>
      <c r="D45" s="341" t="e">
        <f>'4. Cohortes ciclo-semestre'!Y11</f>
        <v>#DIV/0!</v>
      </c>
      <c r="E45" s="341" t="e">
        <f>'4. Cohortes ciclo-semestre'!Z11</f>
        <v>#DIV/0!</v>
      </c>
      <c r="F45" s="341" t="e">
        <f>'4. Cohortes ciclo-semestre'!AA11</f>
        <v>#DIV/0!</v>
      </c>
      <c r="P45" s="330"/>
    </row>
    <row r="46" spans="2:16" ht="16" customHeight="1">
      <c r="B46" s="329"/>
      <c r="C46" s="331" t="str">
        <f>'4. Cohortes ciclo-semestre'!A12</f>
        <v>2019-I</v>
      </c>
      <c r="D46" s="341" t="e">
        <f>'4. Cohortes ciclo-semestre'!Y12</f>
        <v>#DIV/0!</v>
      </c>
      <c r="E46" s="341" t="e">
        <f>'4. Cohortes ciclo-semestre'!Z12</f>
        <v>#DIV/0!</v>
      </c>
      <c r="F46" s="341" t="e">
        <f>'4. Cohortes ciclo-semestre'!AA12</f>
        <v>#DIV/0!</v>
      </c>
      <c r="P46" s="330"/>
    </row>
    <row r="47" spans="2:16" ht="16" customHeight="1">
      <c r="B47" s="329"/>
      <c r="C47" s="331" t="str">
        <f>'4. Cohortes ciclo-semestre'!A13</f>
        <v>2019-II</v>
      </c>
      <c r="D47" s="341" t="e">
        <f>'4. Cohortes ciclo-semestre'!Y13</f>
        <v>#DIV/0!</v>
      </c>
      <c r="E47" s="341" t="e">
        <f>'4. Cohortes ciclo-semestre'!Z13</f>
        <v>#DIV/0!</v>
      </c>
      <c r="F47" s="341" t="e">
        <f>'4. Cohortes ciclo-semestre'!AA13</f>
        <v>#DIV/0!</v>
      </c>
      <c r="P47" s="330"/>
    </row>
    <row r="48" spans="2:16" ht="16" customHeight="1">
      <c r="B48" s="329"/>
      <c r="C48" s="331" t="str">
        <f>'4. Cohortes ciclo-semestre'!A14</f>
        <v>2020-I</v>
      </c>
      <c r="D48" s="341" t="e">
        <f>'4. Cohortes ciclo-semestre'!Y14</f>
        <v>#DIV/0!</v>
      </c>
      <c r="E48" s="341" t="e">
        <f>'4. Cohortes ciclo-semestre'!Z14</f>
        <v>#DIV/0!</v>
      </c>
      <c r="F48" s="341" t="e">
        <f>'4. Cohortes ciclo-semestre'!AA14</f>
        <v>#DIV/0!</v>
      </c>
      <c r="P48" s="330"/>
    </row>
    <row r="49" spans="2:16" ht="16" customHeight="1">
      <c r="B49" s="329"/>
      <c r="C49" s="331" t="str">
        <f>'4. Cohortes ciclo-semestre'!A15</f>
        <v>2020-II</v>
      </c>
      <c r="D49" s="341" t="e">
        <f>'4. Cohortes ciclo-semestre'!Y15</f>
        <v>#DIV/0!</v>
      </c>
      <c r="E49" s="341" t="e">
        <f>'4. Cohortes ciclo-semestre'!Z15</f>
        <v>#DIV/0!</v>
      </c>
      <c r="F49" s="341" t="e">
        <f>'4. Cohortes ciclo-semestre'!AA15</f>
        <v>#DIV/0!</v>
      </c>
      <c r="P49" s="330"/>
    </row>
    <row r="50" spans="2:16" ht="16" customHeight="1">
      <c r="B50" s="329"/>
      <c r="C50" s="331" t="str">
        <f>'4. Cohortes ciclo-semestre'!A16</f>
        <v>2021-I</v>
      </c>
      <c r="D50" s="341" t="e">
        <f>'4. Cohortes ciclo-semestre'!Y16</f>
        <v>#DIV/0!</v>
      </c>
      <c r="E50" s="341" t="e">
        <f>'4. Cohortes ciclo-semestre'!Z16</f>
        <v>#DIV/0!</v>
      </c>
      <c r="F50" s="341" t="e">
        <f>'4. Cohortes ciclo-semestre'!AA16</f>
        <v>#DIV/0!</v>
      </c>
      <c r="P50" s="330"/>
    </row>
    <row r="51" spans="2:16" ht="16" customHeight="1">
      <c r="B51" s="329"/>
      <c r="C51" s="331" t="str">
        <f>'4. Cohortes ciclo-semestre'!A17</f>
        <v>2021-II</v>
      </c>
      <c r="D51" s="341" t="e">
        <f>'4. Cohortes ciclo-semestre'!Y17</f>
        <v>#DIV/0!</v>
      </c>
      <c r="E51" s="341" t="e">
        <f>'4. Cohortes ciclo-semestre'!Z17</f>
        <v>#DIV/0!</v>
      </c>
      <c r="F51" s="341" t="e">
        <f>'4. Cohortes ciclo-semestre'!AA17</f>
        <v>#DIV/0!</v>
      </c>
      <c r="P51" s="330"/>
    </row>
    <row r="52" spans="2:16" ht="16" customHeight="1">
      <c r="B52" s="329"/>
      <c r="C52" s="331" t="str">
        <f>'4. Cohortes ciclo-semestre'!A18</f>
        <v>2022-I</v>
      </c>
      <c r="D52" s="341" t="e">
        <f>'4. Cohortes ciclo-semestre'!Y18</f>
        <v>#DIV/0!</v>
      </c>
      <c r="E52" s="341" t="e">
        <f>'4. Cohortes ciclo-semestre'!Z18</f>
        <v>#DIV/0!</v>
      </c>
      <c r="F52" s="341" t="e">
        <f>'4. Cohortes ciclo-semestre'!AA18</f>
        <v>#DIV/0!</v>
      </c>
      <c r="P52" s="330"/>
    </row>
    <row r="53" spans="2:16" ht="16" customHeight="1">
      <c r="B53" s="329"/>
      <c r="C53" s="331" t="str">
        <f>'4. Cohortes ciclo-semestre'!A19</f>
        <v>2022-II</v>
      </c>
      <c r="D53" s="341" t="e">
        <f>'4. Cohortes ciclo-semestre'!Y19</f>
        <v>#DIV/0!</v>
      </c>
      <c r="E53" s="341" t="e">
        <f>'4. Cohortes ciclo-semestre'!Z19</f>
        <v>#DIV/0!</v>
      </c>
      <c r="F53" s="341" t="e">
        <f>'4. Cohortes ciclo-semestre'!AA19</f>
        <v>#DIV/0!</v>
      </c>
      <c r="P53" s="330"/>
    </row>
    <row r="54" spans="2:16" ht="16" customHeight="1">
      <c r="B54" s="329"/>
      <c r="C54" s="331" t="str">
        <f>'4. Cohortes ciclo-semestre'!A20</f>
        <v>2023-I</v>
      </c>
      <c r="D54" s="341" t="e">
        <f>'4. Cohortes ciclo-semestre'!Y20</f>
        <v>#DIV/0!</v>
      </c>
      <c r="E54" s="341" t="e">
        <f>'4. Cohortes ciclo-semestre'!Z20</f>
        <v>#DIV/0!</v>
      </c>
      <c r="F54" s="341" t="e">
        <f>'4. Cohortes ciclo-semestre'!AA20</f>
        <v>#DIV/0!</v>
      </c>
      <c r="P54" s="330"/>
    </row>
    <row r="55" spans="2:16" ht="16" customHeight="1">
      <c r="B55" s="329"/>
      <c r="C55" s="331" t="str">
        <f>'4. Cohortes ciclo-semestre'!A21</f>
        <v>2023-II</v>
      </c>
      <c r="D55" s="341" t="e">
        <f>'4. Cohortes ciclo-semestre'!Y21</f>
        <v>#DIV/0!</v>
      </c>
      <c r="E55" s="341" t="e">
        <f>'4. Cohortes ciclo-semestre'!Z21</f>
        <v>#DIV/0!</v>
      </c>
      <c r="F55" s="341" t="e">
        <f>'4. Cohortes ciclo-semestre'!AA21</f>
        <v>#DIV/0!</v>
      </c>
      <c r="P55" s="330"/>
    </row>
    <row r="56" spans="2:16" ht="16" customHeight="1">
      <c r="B56" s="329"/>
      <c r="C56" s="331" t="str">
        <f>'4. Cohortes ciclo-semestre'!A22</f>
        <v>2024-I</v>
      </c>
      <c r="D56" s="341" t="e">
        <f>'4. Cohortes ciclo-semestre'!Y22</f>
        <v>#DIV/0!</v>
      </c>
      <c r="E56" s="341" t="e">
        <f>'4. Cohortes ciclo-semestre'!Z22</f>
        <v>#DIV/0!</v>
      </c>
      <c r="F56" s="341"/>
      <c r="P56" s="330"/>
    </row>
    <row r="57" spans="2:16" ht="16" customHeight="1">
      <c r="B57" s="329"/>
      <c r="C57" s="331" t="str">
        <f>'4. Cohortes ciclo-semestre'!A23</f>
        <v>2024-II</v>
      </c>
      <c r="D57" s="341" t="e">
        <f>'4. Cohortes ciclo-semestre'!Y23</f>
        <v>#DIV/0!</v>
      </c>
      <c r="E57" s="341" t="e">
        <f>'4. Cohortes ciclo-semestre'!Z23</f>
        <v>#DIV/0!</v>
      </c>
      <c r="F57" s="341"/>
      <c r="P57" s="330"/>
    </row>
    <row r="58" spans="2:16" ht="16" customHeight="1">
      <c r="B58" s="329"/>
      <c r="C58" s="331" t="str">
        <f>'4. Cohortes ciclo-semestre'!A24</f>
        <v>2025-I</v>
      </c>
      <c r="D58" s="341" t="e">
        <f>'4. Cohortes ciclo-semestre'!Y24</f>
        <v>#DIV/0!</v>
      </c>
      <c r="E58" s="341"/>
      <c r="F58" s="341"/>
      <c r="P58" s="330"/>
    </row>
    <row r="59" spans="2:16" ht="16" customHeight="1">
      <c r="B59" s="329"/>
      <c r="C59" s="331" t="str">
        <f>'4. Cohortes ciclo-semestre'!A25</f>
        <v>2025-II</v>
      </c>
      <c r="D59" s="341" t="e">
        <f>'4. Cohortes ciclo-semestre'!Y25</f>
        <v>#DIV/0!</v>
      </c>
      <c r="E59" s="341"/>
      <c r="F59" s="331"/>
      <c r="P59" s="330"/>
    </row>
    <row r="60" spans="2:16">
      <c r="B60" s="329"/>
      <c r="P60" s="330"/>
    </row>
    <row r="61" spans="2:16" ht="16" thickBot="1">
      <c r="B61" s="335"/>
      <c r="C61" s="336"/>
      <c r="D61" s="336"/>
      <c r="E61" s="336"/>
      <c r="F61" s="336"/>
      <c r="G61" s="336"/>
      <c r="H61" s="336"/>
      <c r="I61" s="336"/>
      <c r="J61" s="336"/>
      <c r="K61" s="336"/>
      <c r="L61" s="336"/>
      <c r="M61" s="336"/>
      <c r="N61" s="336"/>
      <c r="O61" s="336"/>
      <c r="P61" s="339"/>
    </row>
    <row r="62" spans="2:16">
      <c r="B62" s="326"/>
      <c r="C62" s="327"/>
      <c r="D62" s="327"/>
      <c r="E62" s="327"/>
      <c r="F62" s="327"/>
      <c r="G62" s="327"/>
      <c r="H62" s="327"/>
      <c r="I62" s="327"/>
      <c r="J62" s="327"/>
      <c r="K62" s="327"/>
      <c r="L62" s="327"/>
      <c r="M62" s="327"/>
      <c r="N62" s="327"/>
      <c r="O62" s="327"/>
      <c r="P62" s="328"/>
    </row>
    <row r="63" spans="2:16">
      <c r="B63" s="329"/>
      <c r="P63" s="330"/>
    </row>
    <row r="64" spans="2:16" ht="25" customHeight="1">
      <c r="B64" s="329"/>
      <c r="C64" s="360" t="s">
        <v>526</v>
      </c>
      <c r="D64" s="360"/>
      <c r="E64" s="360"/>
      <c r="F64" s="360"/>
      <c r="P64" s="330"/>
    </row>
    <row r="65" spans="1:17" ht="43.5" customHeight="1">
      <c r="B65" s="329"/>
      <c r="C65" s="292" t="s">
        <v>524</v>
      </c>
      <c r="D65" s="292" t="s">
        <v>527</v>
      </c>
      <c r="E65" s="292" t="s">
        <v>528</v>
      </c>
      <c r="F65" s="292" t="s">
        <v>529</v>
      </c>
      <c r="P65" s="330"/>
    </row>
    <row r="66" spans="1:17" ht="17.5" customHeight="1">
      <c r="B66" s="329"/>
      <c r="C66" s="331" t="str">
        <f>'5.Egresados ciclo-semestre'!A7</f>
        <v>2017-I</v>
      </c>
      <c r="D66" s="341" t="e">
        <f>'5.Egresados ciclo-semestre'!L7</f>
        <v>#DIV/0!</v>
      </c>
      <c r="E66" s="341" t="e">
        <f>'6. Titulados ciclo-semestre'!L9</f>
        <v>#DIV/0!</v>
      </c>
      <c r="F66" s="341" t="e">
        <f>'6. Titulados ciclo-semestre'!M9</f>
        <v>#DIV/0!</v>
      </c>
      <c r="P66" s="330"/>
    </row>
    <row r="67" spans="1:17" ht="17.5" customHeight="1">
      <c r="B67" s="329"/>
      <c r="C67" s="331" t="str">
        <f>'5.Egresados ciclo-semestre'!A8</f>
        <v>2017-II</v>
      </c>
      <c r="D67" s="341" t="e">
        <f>'5.Egresados ciclo-semestre'!L8</f>
        <v>#DIV/0!</v>
      </c>
      <c r="E67" s="341" t="e">
        <f>'6. Titulados ciclo-semestre'!L10</f>
        <v>#DIV/0!</v>
      </c>
      <c r="F67" s="341" t="e">
        <f>'6. Titulados ciclo-semestre'!M10</f>
        <v>#DIV/0!</v>
      </c>
      <c r="P67" s="330"/>
    </row>
    <row r="68" spans="1:17" ht="17.5" customHeight="1">
      <c r="B68" s="329"/>
      <c r="C68" s="331" t="str">
        <f>'5.Egresados ciclo-semestre'!A9</f>
        <v>2018-I</v>
      </c>
      <c r="D68" s="341" t="e">
        <f>'5.Egresados ciclo-semestre'!L9</f>
        <v>#DIV/0!</v>
      </c>
      <c r="E68" s="341" t="e">
        <f>'6. Titulados ciclo-semestre'!L11</f>
        <v>#DIV/0!</v>
      </c>
      <c r="F68" s="341" t="e">
        <f>'6. Titulados ciclo-semestre'!M11</f>
        <v>#DIV/0!</v>
      </c>
      <c r="P68" s="330"/>
    </row>
    <row r="69" spans="1:17" ht="17.5" customHeight="1">
      <c r="B69" s="329"/>
      <c r="C69" s="331" t="str">
        <f>'5.Egresados ciclo-semestre'!A10</f>
        <v>2018-II</v>
      </c>
      <c r="D69" s="341" t="e">
        <f>'5.Egresados ciclo-semestre'!L10</f>
        <v>#DIV/0!</v>
      </c>
      <c r="E69" s="341" t="e">
        <f>'6. Titulados ciclo-semestre'!L12</f>
        <v>#DIV/0!</v>
      </c>
      <c r="F69" s="341" t="e">
        <f>'6. Titulados ciclo-semestre'!M12</f>
        <v>#DIV/0!</v>
      </c>
      <c r="P69" s="330"/>
    </row>
    <row r="70" spans="1:17" ht="17.5" customHeight="1">
      <c r="B70" s="329"/>
      <c r="C70" s="331" t="str">
        <f>'5.Egresados ciclo-semestre'!A11</f>
        <v>2019-I</v>
      </c>
      <c r="D70" s="341" t="e">
        <f>'5.Egresados ciclo-semestre'!L11</f>
        <v>#DIV/0!</v>
      </c>
      <c r="E70" s="341" t="e">
        <f>'6. Titulados ciclo-semestre'!L13</f>
        <v>#DIV/0!</v>
      </c>
      <c r="F70" s="341" t="e">
        <f>'6. Titulados ciclo-semestre'!M13</f>
        <v>#DIV/0!</v>
      </c>
      <c r="P70" s="330"/>
    </row>
    <row r="71" spans="1:17" ht="17.5" customHeight="1">
      <c r="B71" s="329"/>
      <c r="C71" s="331" t="str">
        <f>'5.Egresados ciclo-semestre'!A12</f>
        <v>2019-II</v>
      </c>
      <c r="D71" s="341" t="e">
        <f>'5.Egresados ciclo-semestre'!L12</f>
        <v>#DIV/0!</v>
      </c>
      <c r="E71" s="341" t="e">
        <f>'6. Titulados ciclo-semestre'!L14</f>
        <v>#DIV/0!</v>
      </c>
      <c r="F71" s="341" t="e">
        <f>'6. Titulados ciclo-semestre'!M14</f>
        <v>#DIV/0!</v>
      </c>
      <c r="P71" s="330"/>
    </row>
    <row r="72" spans="1:17" ht="17.5" customHeight="1">
      <c r="B72" s="329"/>
      <c r="C72" s="331" t="str">
        <f>'5.Egresados ciclo-semestre'!A13</f>
        <v>2020-I</v>
      </c>
      <c r="D72" s="341" t="e">
        <f>'5.Egresados ciclo-semestre'!L13</f>
        <v>#DIV/0!</v>
      </c>
      <c r="E72" s="341" t="e">
        <f>'6. Titulados ciclo-semestre'!L15</f>
        <v>#DIV/0!</v>
      </c>
      <c r="F72" s="341" t="e">
        <f>'6. Titulados ciclo-semestre'!M15</f>
        <v>#DIV/0!</v>
      </c>
      <c r="P72" s="330"/>
    </row>
    <row r="73" spans="1:17" ht="17.5" customHeight="1">
      <c r="B73" s="329"/>
      <c r="C73" s="331" t="str">
        <f>'5.Egresados ciclo-semestre'!A14</f>
        <v>2020-II</v>
      </c>
      <c r="D73" s="341" t="e">
        <f>'5.Egresados ciclo-semestre'!L14</f>
        <v>#DIV/0!</v>
      </c>
      <c r="E73" s="341" t="e">
        <f>'6. Titulados ciclo-semestre'!L16</f>
        <v>#DIV/0!</v>
      </c>
      <c r="F73" s="341" t="e">
        <f>'6. Titulados ciclo-semestre'!M16</f>
        <v>#DIV/0!</v>
      </c>
      <c r="P73" s="330"/>
    </row>
    <row r="74" spans="1:17" ht="17.5" customHeight="1">
      <c r="B74" s="329"/>
      <c r="C74" s="331" t="str">
        <f>'5.Egresados ciclo-semestre'!A15</f>
        <v>2021-I</v>
      </c>
      <c r="D74" s="341" t="e">
        <f>'5.Egresados ciclo-semestre'!L15</f>
        <v>#DIV/0!</v>
      </c>
      <c r="E74" s="341" t="e">
        <f>'6. Titulados ciclo-semestre'!L17</f>
        <v>#DIV/0!</v>
      </c>
      <c r="F74" s="341" t="e">
        <f>'6. Titulados ciclo-semestre'!M17</f>
        <v>#DIV/0!</v>
      </c>
      <c r="P74" s="330"/>
    </row>
    <row r="75" spans="1:17" ht="17.5" customHeight="1">
      <c r="B75" s="329"/>
      <c r="C75" s="331" t="str">
        <f>'5.Egresados ciclo-semestre'!A16</f>
        <v>2021-II</v>
      </c>
      <c r="D75" s="341" t="e">
        <f>'5.Egresados ciclo-semestre'!L16</f>
        <v>#DIV/0!</v>
      </c>
      <c r="E75" s="341" t="e">
        <f>'6. Titulados ciclo-semestre'!L18</f>
        <v>#DIV/0!</v>
      </c>
      <c r="F75" s="341" t="e">
        <f>'6. Titulados ciclo-semestre'!M18</f>
        <v>#DIV/0!</v>
      </c>
      <c r="P75" s="330"/>
    </row>
    <row r="76" spans="1:17">
      <c r="B76" s="329"/>
      <c r="P76" s="330"/>
    </row>
    <row r="77" spans="1:17" ht="16" thickBot="1">
      <c r="B77" s="335"/>
      <c r="C77" s="336"/>
      <c r="D77" s="336"/>
      <c r="E77" s="336"/>
      <c r="F77" s="336"/>
      <c r="G77" s="336"/>
      <c r="H77" s="336"/>
      <c r="I77" s="336"/>
      <c r="J77" s="336"/>
      <c r="K77" s="336"/>
      <c r="L77" s="336"/>
      <c r="M77" s="336"/>
      <c r="N77" s="336"/>
      <c r="O77" s="336"/>
      <c r="P77" s="339"/>
    </row>
    <row r="79" spans="1:17" s="325" customFormat="1">
      <c r="A79" s="224"/>
      <c r="B79" s="358" t="s">
        <v>537</v>
      </c>
      <c r="C79" s="358"/>
      <c r="D79" s="358"/>
      <c r="E79" s="358"/>
      <c r="F79" s="358"/>
      <c r="G79" s="358"/>
      <c r="H79" s="358"/>
      <c r="I79" s="358"/>
      <c r="J79" s="358"/>
      <c r="K79" s="358"/>
      <c r="L79" s="358"/>
      <c r="M79" s="358"/>
      <c r="N79" s="358"/>
      <c r="O79" s="358"/>
      <c r="P79" s="358"/>
      <c r="Q79" s="324"/>
    </row>
    <row r="80" spans="1:17" ht="16" thickBot="1"/>
    <row r="81" spans="2:16">
      <c r="B81" s="326"/>
      <c r="C81" s="327"/>
      <c r="D81" s="327"/>
      <c r="E81" s="327"/>
      <c r="F81" s="327"/>
      <c r="G81" s="327"/>
      <c r="H81" s="327"/>
      <c r="I81" s="327"/>
      <c r="J81" s="327"/>
      <c r="K81" s="327"/>
      <c r="L81" s="327"/>
      <c r="M81" s="327"/>
      <c r="N81" s="327"/>
      <c r="O81" s="327"/>
      <c r="P81" s="328"/>
    </row>
    <row r="82" spans="2:16" ht="24.65" customHeight="1">
      <c r="B82" s="329"/>
      <c r="C82" s="360" t="s">
        <v>536</v>
      </c>
      <c r="D82" s="360"/>
      <c r="E82" s="360"/>
      <c r="F82" s="360"/>
      <c r="P82" s="330"/>
    </row>
    <row r="83" spans="2:16" ht="46.5">
      <c r="B83" s="329"/>
      <c r="C83" s="292" t="s">
        <v>44</v>
      </c>
      <c r="D83" s="292" t="s">
        <v>531</v>
      </c>
      <c r="E83" s="292" t="s">
        <v>532</v>
      </c>
      <c r="F83" s="292" t="s">
        <v>533</v>
      </c>
      <c r="P83" s="330"/>
    </row>
    <row r="84" spans="2:16" ht="17.5" customHeight="1">
      <c r="B84" s="329"/>
      <c r="C84" s="331" t="str">
        <f>'11. Caracterización académicos '!A9</f>
        <v>2022-I</v>
      </c>
      <c r="D84" s="332">
        <f>'11. Caracterización académicos '!B9</f>
        <v>0</v>
      </c>
      <c r="E84" s="332">
        <f>'11. Caracterización académicos '!I9</f>
        <v>0</v>
      </c>
      <c r="F84" s="332">
        <f>'11. Caracterización académicos '!P9</f>
        <v>0</v>
      </c>
      <c r="P84" s="330"/>
    </row>
    <row r="85" spans="2:16" ht="17.5" customHeight="1">
      <c r="B85" s="329"/>
      <c r="C85" s="331" t="str">
        <f>'11. Caracterización académicos '!A10</f>
        <v>2022-II</v>
      </c>
      <c r="D85" s="332">
        <f>'11. Caracterización académicos '!B10</f>
        <v>0</v>
      </c>
      <c r="E85" s="332">
        <f>'11. Caracterización académicos '!I10</f>
        <v>0</v>
      </c>
      <c r="F85" s="332">
        <f>'11. Caracterización académicos '!P10</f>
        <v>0</v>
      </c>
      <c r="P85" s="330"/>
    </row>
    <row r="86" spans="2:16" ht="17.5" customHeight="1">
      <c r="B86" s="329"/>
      <c r="C86" s="331" t="str">
        <f>'11. Caracterización académicos '!A11</f>
        <v>2023-I</v>
      </c>
      <c r="D86" s="332">
        <f>'11. Caracterización académicos '!B11</f>
        <v>0</v>
      </c>
      <c r="E86" s="332">
        <f>'11. Caracterización académicos '!I11</f>
        <v>0</v>
      </c>
      <c r="F86" s="332">
        <f>'11. Caracterización académicos '!P11</f>
        <v>0</v>
      </c>
      <c r="P86" s="330"/>
    </row>
    <row r="87" spans="2:16" ht="17.5" customHeight="1">
      <c r="B87" s="329"/>
      <c r="C87" s="331" t="str">
        <f>'11. Caracterización académicos '!A12</f>
        <v>2023-II</v>
      </c>
      <c r="D87" s="332">
        <f>'11. Caracterización académicos '!B12</f>
        <v>0</v>
      </c>
      <c r="E87" s="332">
        <f>'11. Caracterización académicos '!I12</f>
        <v>0</v>
      </c>
      <c r="F87" s="332">
        <f>'11. Caracterización académicos '!P12</f>
        <v>0</v>
      </c>
      <c r="P87" s="330"/>
    </row>
    <row r="88" spans="2:16" ht="17.5" customHeight="1">
      <c r="B88" s="329"/>
      <c r="C88" s="331" t="str">
        <f>'11. Caracterización académicos '!A13</f>
        <v>2024-I</v>
      </c>
      <c r="D88" s="332">
        <f>'11. Caracterización académicos '!B13</f>
        <v>0</v>
      </c>
      <c r="E88" s="332">
        <f>'11. Caracterización académicos '!I13</f>
        <v>0</v>
      </c>
      <c r="F88" s="332">
        <f>'11. Caracterización académicos '!P13</f>
        <v>0</v>
      </c>
      <c r="P88" s="330"/>
    </row>
    <row r="89" spans="2:16" ht="17.5" customHeight="1">
      <c r="B89" s="329"/>
      <c r="C89" s="331" t="str">
        <f>'11. Caracterización académicos '!A14</f>
        <v>2024-II</v>
      </c>
      <c r="D89" s="332">
        <f>'11. Caracterización académicos '!B14</f>
        <v>0</v>
      </c>
      <c r="E89" s="332">
        <f>'11. Caracterización académicos '!I14</f>
        <v>0</v>
      </c>
      <c r="F89" s="332">
        <f>'11. Caracterización académicos '!P14</f>
        <v>0</v>
      </c>
      <c r="P89" s="330"/>
    </row>
    <row r="90" spans="2:16" ht="17.5" customHeight="1">
      <c r="B90" s="329"/>
      <c r="C90" s="331" t="str">
        <f>'11. Caracterización académicos '!A15</f>
        <v>2025-I</v>
      </c>
      <c r="D90" s="332">
        <f>'11. Caracterización académicos '!B15</f>
        <v>0</v>
      </c>
      <c r="E90" s="332">
        <f>'11. Caracterización académicos '!I15</f>
        <v>0</v>
      </c>
      <c r="F90" s="332">
        <f>'11. Caracterización académicos '!P15</f>
        <v>0</v>
      </c>
      <c r="P90" s="330"/>
    </row>
    <row r="91" spans="2:16" ht="17.5" customHeight="1">
      <c r="B91" s="329"/>
      <c r="C91" s="331" t="str">
        <f>'11. Caracterización académicos '!A16</f>
        <v>2025-II</v>
      </c>
      <c r="D91" s="332">
        <f>'11. Caracterización académicos '!B16</f>
        <v>0</v>
      </c>
      <c r="E91" s="332">
        <f>'11. Caracterización académicos '!I16</f>
        <v>0</v>
      </c>
      <c r="F91" s="332">
        <f>'11. Caracterización académicos '!P16</f>
        <v>0</v>
      </c>
      <c r="P91" s="330"/>
    </row>
    <row r="92" spans="2:16" ht="17.5" customHeight="1">
      <c r="B92" s="329"/>
      <c r="C92" s="331" t="str">
        <f>'11. Caracterización académicos '!A17</f>
        <v>2026-I</v>
      </c>
      <c r="D92" s="332">
        <f>'11. Caracterización académicos '!B17</f>
        <v>0</v>
      </c>
      <c r="E92" s="332">
        <f>'11. Caracterización académicos '!I17</f>
        <v>0</v>
      </c>
      <c r="F92" s="332">
        <f>'11. Caracterización académicos '!P17</f>
        <v>0</v>
      </c>
      <c r="P92" s="330"/>
    </row>
    <row r="93" spans="2:16" ht="17.5" customHeight="1">
      <c r="B93" s="329"/>
      <c r="C93" s="331" t="str">
        <f>'11. Caracterización académicos '!A18</f>
        <v>2026-II</v>
      </c>
      <c r="D93" s="332">
        <f>'11. Caracterización académicos '!B18</f>
        <v>0</v>
      </c>
      <c r="E93" s="332">
        <f>'11. Caracterización académicos '!I18</f>
        <v>0</v>
      </c>
      <c r="F93" s="332">
        <f>'11. Caracterización académicos '!P18</f>
        <v>0</v>
      </c>
      <c r="P93" s="330"/>
    </row>
    <row r="94" spans="2:16">
      <c r="B94" s="329"/>
      <c r="P94" s="330"/>
    </row>
    <row r="95" spans="2:16" ht="16" thickBot="1">
      <c r="B95" s="335"/>
      <c r="C95" s="336"/>
      <c r="D95" s="336"/>
      <c r="E95" s="336"/>
      <c r="F95" s="336"/>
      <c r="G95" s="336"/>
      <c r="H95" s="336"/>
      <c r="I95" s="336"/>
      <c r="J95" s="336"/>
      <c r="K95" s="336"/>
      <c r="L95" s="336"/>
      <c r="M95" s="336"/>
      <c r="N95" s="336"/>
      <c r="O95" s="336"/>
      <c r="P95" s="339"/>
    </row>
    <row r="96" spans="2:16">
      <c r="B96" s="326"/>
      <c r="C96" s="327"/>
      <c r="D96" s="327"/>
      <c r="E96" s="327"/>
      <c r="F96" s="327"/>
      <c r="G96" s="327"/>
      <c r="H96" s="327"/>
      <c r="I96" s="327"/>
      <c r="J96" s="327"/>
      <c r="K96" s="327"/>
      <c r="L96" s="327"/>
      <c r="M96" s="327"/>
      <c r="N96" s="327"/>
      <c r="O96" s="327"/>
      <c r="P96" s="328"/>
    </row>
    <row r="97" spans="2:16">
      <c r="B97" s="329"/>
      <c r="P97" s="330"/>
    </row>
    <row r="98" spans="2:16">
      <c r="B98" s="329"/>
      <c r="P98" s="330"/>
    </row>
    <row r="99" spans="2:16">
      <c r="B99" s="329"/>
      <c r="P99" s="330"/>
    </row>
    <row r="100" spans="2:16">
      <c r="B100" s="329"/>
      <c r="P100" s="330"/>
    </row>
    <row r="101" spans="2:16">
      <c r="B101" s="329"/>
      <c r="P101" s="330"/>
    </row>
    <row r="102" spans="2:16">
      <c r="B102" s="329"/>
      <c r="P102" s="330"/>
    </row>
    <row r="103" spans="2:16">
      <c r="B103" s="329"/>
      <c r="P103" s="330"/>
    </row>
    <row r="104" spans="2:16">
      <c r="B104" s="329"/>
      <c r="P104" s="330"/>
    </row>
    <row r="105" spans="2:16">
      <c r="B105" s="329"/>
      <c r="P105" s="330"/>
    </row>
    <row r="106" spans="2:16">
      <c r="B106" s="329"/>
      <c r="P106" s="330"/>
    </row>
    <row r="107" spans="2:16">
      <c r="B107" s="329"/>
      <c r="P107" s="330"/>
    </row>
    <row r="108" spans="2:16">
      <c r="B108" s="329"/>
      <c r="P108" s="330"/>
    </row>
    <row r="109" spans="2:16">
      <c r="B109" s="329"/>
      <c r="P109" s="330"/>
    </row>
    <row r="110" spans="2:16">
      <c r="B110" s="329"/>
      <c r="P110" s="330"/>
    </row>
    <row r="111" spans="2:16" ht="13" customHeight="1" thickBot="1">
      <c r="B111" s="335"/>
      <c r="C111" s="336"/>
      <c r="D111" s="336"/>
      <c r="E111" s="336"/>
      <c r="F111" s="336"/>
      <c r="G111" s="336"/>
      <c r="H111" s="336"/>
      <c r="I111" s="336"/>
      <c r="J111" s="336"/>
      <c r="K111" s="336"/>
      <c r="L111" s="336"/>
      <c r="M111" s="336"/>
      <c r="N111" s="336"/>
      <c r="O111" s="336"/>
      <c r="P111" s="339"/>
    </row>
    <row r="112" spans="2:16" ht="8.5" customHeight="1">
      <c r="B112" s="326"/>
      <c r="C112" s="327"/>
      <c r="D112" s="327"/>
      <c r="E112" s="327"/>
      <c r="F112" s="327"/>
      <c r="G112" s="327"/>
      <c r="H112" s="327"/>
      <c r="I112" s="327"/>
      <c r="J112" s="327"/>
      <c r="K112" s="327"/>
      <c r="L112" s="327"/>
      <c r="M112" s="327"/>
      <c r="N112" s="327"/>
      <c r="O112" s="327"/>
      <c r="P112" s="328"/>
    </row>
    <row r="113" spans="2:16">
      <c r="B113" s="329"/>
      <c r="P113" s="330"/>
    </row>
    <row r="114" spans="2:16">
      <c r="B114" s="329"/>
      <c r="P114" s="330"/>
    </row>
    <row r="115" spans="2:16">
      <c r="B115" s="329"/>
      <c r="P115" s="330"/>
    </row>
    <row r="116" spans="2:16">
      <c r="B116" s="329"/>
      <c r="P116" s="330"/>
    </row>
    <row r="117" spans="2:16">
      <c r="B117" s="329"/>
      <c r="P117" s="330"/>
    </row>
    <row r="118" spans="2:16">
      <c r="B118" s="329"/>
      <c r="P118" s="330"/>
    </row>
    <row r="119" spans="2:16">
      <c r="B119" s="329"/>
      <c r="P119" s="330"/>
    </row>
    <row r="120" spans="2:16">
      <c r="B120" s="329"/>
      <c r="P120" s="330"/>
    </row>
    <row r="121" spans="2:16">
      <c r="B121" s="329"/>
      <c r="P121" s="330"/>
    </row>
    <row r="122" spans="2:16">
      <c r="B122" s="329"/>
      <c r="P122" s="330"/>
    </row>
    <row r="123" spans="2:16">
      <c r="B123" s="329"/>
      <c r="P123" s="330"/>
    </row>
    <row r="124" spans="2:16">
      <c r="B124" s="329"/>
      <c r="P124" s="330"/>
    </row>
    <row r="125" spans="2:16">
      <c r="B125" s="329"/>
      <c r="P125" s="330"/>
    </row>
    <row r="126" spans="2:16">
      <c r="B126" s="329"/>
      <c r="P126" s="330"/>
    </row>
    <row r="127" spans="2:16">
      <c r="B127" s="329"/>
      <c r="P127" s="330"/>
    </row>
    <row r="128" spans="2:16" ht="16" thickBot="1">
      <c r="B128" s="335"/>
      <c r="C128" s="336"/>
      <c r="D128" s="336"/>
      <c r="E128" s="336"/>
      <c r="F128" s="336"/>
      <c r="G128" s="336"/>
      <c r="H128" s="336"/>
      <c r="I128" s="336"/>
      <c r="J128" s="336"/>
      <c r="K128" s="336"/>
      <c r="L128" s="336"/>
      <c r="M128" s="336"/>
      <c r="N128" s="336"/>
      <c r="O128" s="336"/>
      <c r="P128" s="339"/>
    </row>
  </sheetData>
  <mergeCells count="8">
    <mergeCell ref="B5:P5"/>
    <mergeCell ref="B3:P3"/>
    <mergeCell ref="C64:F64"/>
    <mergeCell ref="B79:P79"/>
    <mergeCell ref="C82:F82"/>
    <mergeCell ref="C40:F40"/>
    <mergeCell ref="C9:F9"/>
    <mergeCell ref="C24:E24"/>
  </mergeCells>
  <pageMargins left="0.25" right="0.25" top="0.75" bottom="0.75" header="0.3" footer="0.3"/>
  <pageSetup scale="59" fitToHeight="16" orientation="portrait" horizontalDpi="0" verticalDpi="0" r:id="rId1"/>
  <rowBreaks count="1" manualBreakCount="1">
    <brk id="61" min="1" max="1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
  <dimension ref="A1:E39"/>
  <sheetViews>
    <sheetView zoomScale="94" zoomScaleNormal="94" workbookViewId="0">
      <selection activeCell="A13" sqref="A13"/>
    </sheetView>
  </sheetViews>
  <sheetFormatPr baseColWidth="10" defaultRowHeight="14.5"/>
  <cols>
    <col min="1" max="1" width="51.81640625" customWidth="1"/>
    <col min="2" max="2" width="39.90625" customWidth="1"/>
    <col min="3" max="3" width="20.453125" customWidth="1"/>
    <col min="4" max="4" width="21.1796875" customWidth="1"/>
  </cols>
  <sheetData>
    <row r="1" spans="1:5">
      <c r="A1" s="28" t="s">
        <v>481</v>
      </c>
      <c r="B1" s="28"/>
      <c r="C1" s="28"/>
      <c r="D1" s="28"/>
      <c r="E1" s="28"/>
    </row>
    <row r="2" spans="1:5">
      <c r="A2" s="28"/>
      <c r="B2" s="28"/>
      <c r="C2" s="28"/>
      <c r="D2" s="28"/>
      <c r="E2" s="28"/>
    </row>
    <row r="3" spans="1:5" ht="45" customHeight="1">
      <c r="A3" s="361" t="s">
        <v>294</v>
      </c>
      <c r="B3" s="361"/>
      <c r="C3" s="28"/>
      <c r="D3" s="28"/>
      <c r="E3" s="28"/>
    </row>
    <row r="4" spans="1:5" ht="12" customHeight="1" thickBot="1">
      <c r="A4" s="122"/>
      <c r="B4" s="28"/>
      <c r="C4" s="28"/>
      <c r="D4" s="28"/>
      <c r="E4" s="28"/>
    </row>
    <row r="5" spans="1:5" ht="23.15" customHeight="1">
      <c r="A5" s="312" t="s">
        <v>101</v>
      </c>
      <c r="B5" s="313"/>
      <c r="C5" s="241"/>
      <c r="D5" s="241"/>
      <c r="E5" s="28"/>
    </row>
    <row r="6" spans="1:5" ht="21" customHeight="1">
      <c r="A6" s="314" t="s">
        <v>100</v>
      </c>
      <c r="B6" s="319"/>
      <c r="C6" s="213"/>
      <c r="D6" s="213"/>
      <c r="E6" s="28"/>
    </row>
    <row r="7" spans="1:5" ht="21" customHeight="1">
      <c r="A7" s="314" t="s">
        <v>1</v>
      </c>
      <c r="B7" s="319"/>
      <c r="C7" s="213"/>
      <c r="D7" s="213"/>
      <c r="E7" s="28"/>
    </row>
    <row r="8" spans="1:5" ht="21" customHeight="1">
      <c r="A8" s="315" t="s">
        <v>284</v>
      </c>
      <c r="B8" s="319"/>
      <c r="C8" s="213"/>
      <c r="D8" s="213"/>
      <c r="E8" s="28"/>
    </row>
    <row r="9" spans="1:5" ht="21" customHeight="1">
      <c r="A9" s="314" t="s">
        <v>409</v>
      </c>
      <c r="B9" s="319"/>
      <c r="C9" s="239"/>
      <c r="D9" s="239"/>
      <c r="E9" s="28"/>
    </row>
    <row r="10" spans="1:5" ht="21" customHeight="1">
      <c r="A10" s="314" t="s">
        <v>286</v>
      </c>
      <c r="B10" s="319"/>
      <c r="C10" s="240"/>
      <c r="D10" s="238"/>
      <c r="E10" s="28"/>
    </row>
    <row r="11" spans="1:5" ht="21" customHeight="1">
      <c r="A11" s="314" t="s">
        <v>285</v>
      </c>
      <c r="B11" s="320"/>
      <c r="C11" s="240"/>
      <c r="D11" s="238"/>
      <c r="E11" s="28"/>
    </row>
    <row r="12" spans="1:5" ht="21" customHeight="1">
      <c r="A12" s="314" t="s">
        <v>2</v>
      </c>
      <c r="B12" s="319">
        <v>5</v>
      </c>
      <c r="C12" s="240"/>
      <c r="D12" s="238"/>
      <c r="E12" s="28"/>
    </row>
    <row r="13" spans="1:5" ht="21" customHeight="1">
      <c r="A13" s="314" t="s">
        <v>287</v>
      </c>
      <c r="B13" s="319"/>
      <c r="C13" s="240"/>
      <c r="D13" s="238"/>
      <c r="E13" s="28"/>
    </row>
    <row r="14" spans="1:5" ht="21" customHeight="1">
      <c r="A14" s="314" t="s">
        <v>3</v>
      </c>
      <c r="B14" s="319"/>
      <c r="C14" s="240"/>
      <c r="D14" s="237"/>
      <c r="E14" s="28"/>
    </row>
    <row r="15" spans="1:5" ht="21" customHeight="1" thickBot="1">
      <c r="A15" s="316" t="s">
        <v>99</v>
      </c>
      <c r="B15" s="321"/>
      <c r="C15" s="213"/>
      <c r="D15" s="237"/>
      <c r="E15" s="28"/>
    </row>
    <row r="16" spans="1:5" ht="25.5" customHeight="1" thickBot="1">
      <c r="A16" s="28"/>
      <c r="B16" s="28"/>
      <c r="C16" s="28"/>
      <c r="D16" s="28"/>
      <c r="E16" s="28"/>
    </row>
    <row r="17" spans="1:5" ht="26.5" customHeight="1" thickBot="1">
      <c r="A17" s="693" t="s">
        <v>595</v>
      </c>
      <c r="B17" s="694"/>
      <c r="C17" s="28"/>
      <c r="D17" s="28"/>
      <c r="E17" s="28"/>
    </row>
    <row r="18" spans="1:5" ht="18" customHeight="1">
      <c r="A18" s="692" t="s">
        <v>541</v>
      </c>
      <c r="B18" s="69" t="s">
        <v>542</v>
      </c>
      <c r="C18" s="28"/>
      <c r="D18" s="28"/>
      <c r="E18" s="28"/>
    </row>
    <row r="19" spans="1:5" ht="18" customHeight="1" thickBot="1">
      <c r="A19" s="317"/>
      <c r="B19" s="48"/>
      <c r="C19" s="28"/>
      <c r="D19" s="28"/>
      <c r="E19" s="28"/>
    </row>
    <row r="20" spans="1:5">
      <c r="A20" s="691"/>
      <c r="B20" s="213"/>
      <c r="C20" s="28"/>
      <c r="D20" s="28"/>
      <c r="E20" s="28"/>
    </row>
    <row r="21" spans="1:5" ht="18" customHeight="1">
      <c r="A21" s="318" t="s">
        <v>544</v>
      </c>
      <c r="B21" s="16" t="s">
        <v>543</v>
      </c>
      <c r="C21" s="28"/>
      <c r="D21" s="28"/>
      <c r="E21" s="28"/>
    </row>
    <row r="22" spans="1:5" ht="18" customHeight="1" thickBot="1">
      <c r="A22" s="317"/>
      <c r="B22" s="48"/>
      <c r="C22" s="28"/>
      <c r="D22" s="28"/>
      <c r="E22" s="28"/>
    </row>
    <row r="23" spans="1:5">
      <c r="A23" s="691"/>
      <c r="B23" s="213"/>
      <c r="C23" s="28"/>
      <c r="D23" s="28"/>
      <c r="E23" s="28"/>
    </row>
    <row r="24" spans="1:5" ht="18" customHeight="1">
      <c r="A24" s="318" t="s">
        <v>544</v>
      </c>
      <c r="B24" s="16" t="s">
        <v>543</v>
      </c>
      <c r="C24" s="28"/>
      <c r="D24" s="28"/>
      <c r="E24" s="28"/>
    </row>
    <row r="25" spans="1:5" ht="18" customHeight="1" thickBot="1">
      <c r="A25" s="317"/>
      <c r="B25" s="48"/>
      <c r="C25" s="28"/>
      <c r="D25" s="28"/>
      <c r="E25" s="28"/>
    </row>
    <row r="26" spans="1:5">
      <c r="A26" s="28"/>
      <c r="B26" s="28"/>
      <c r="C26" s="28"/>
      <c r="D26" s="28"/>
      <c r="E26" s="28"/>
    </row>
    <row r="27" spans="1:5" ht="8.25" customHeight="1">
      <c r="A27" s="28"/>
      <c r="B27" s="28"/>
      <c r="C27" s="28"/>
      <c r="D27" s="28"/>
      <c r="E27" s="28"/>
    </row>
    <row r="28" spans="1:5" ht="16" thickBot="1">
      <c r="A28" s="116"/>
    </row>
    <row r="29" spans="1:5" ht="36" customHeight="1">
      <c r="A29" s="362" t="s">
        <v>616</v>
      </c>
      <c r="B29" s="363"/>
    </row>
    <row r="30" spans="1:5" ht="15.5">
      <c r="A30" s="699" t="s">
        <v>615</v>
      </c>
      <c r="B30" s="698" t="s">
        <v>614</v>
      </c>
    </row>
    <row r="31" spans="1:5" ht="15.5">
      <c r="A31" s="699" t="s">
        <v>613</v>
      </c>
      <c r="B31" s="698" t="s">
        <v>612</v>
      </c>
    </row>
    <row r="32" spans="1:5" ht="15.5">
      <c r="A32" s="699" t="s">
        <v>611</v>
      </c>
      <c r="B32" s="698" t="s">
        <v>610</v>
      </c>
    </row>
    <row r="33" spans="1:2" ht="15.5">
      <c r="A33" s="699" t="s">
        <v>609</v>
      </c>
      <c r="B33" s="698" t="s">
        <v>608</v>
      </c>
    </row>
    <row r="34" spans="1:2" ht="15.5">
      <c r="A34" s="699" t="s">
        <v>607</v>
      </c>
      <c r="B34" s="698" t="s">
        <v>606</v>
      </c>
    </row>
    <row r="35" spans="1:2" ht="15.5">
      <c r="A35" s="699" t="s">
        <v>605</v>
      </c>
      <c r="B35" s="698" t="s">
        <v>604</v>
      </c>
    </row>
    <row r="36" spans="1:2" ht="15.5">
      <c r="A36" s="699" t="s">
        <v>603</v>
      </c>
      <c r="B36" s="698" t="s">
        <v>602</v>
      </c>
    </row>
    <row r="37" spans="1:2" ht="15.5">
      <c r="A37" s="699" t="s">
        <v>601</v>
      </c>
      <c r="B37" s="698" t="s">
        <v>600</v>
      </c>
    </row>
    <row r="38" spans="1:2" ht="15.5">
      <c r="A38" s="699" t="s">
        <v>599</v>
      </c>
      <c r="B38" s="698" t="s">
        <v>598</v>
      </c>
    </row>
    <row r="39" spans="1:2" ht="14.5" customHeight="1" thickBot="1">
      <c r="A39" s="700" t="s">
        <v>597</v>
      </c>
      <c r="B39" s="701" t="s">
        <v>596</v>
      </c>
    </row>
  </sheetData>
  <mergeCells count="3">
    <mergeCell ref="A3:B3"/>
    <mergeCell ref="A17:B17"/>
    <mergeCell ref="A29:B29"/>
  </mergeCells>
  <phoneticPr fontId="6" type="noConversion"/>
  <dataValidations count="2">
    <dataValidation type="list" allowBlank="1" showInputMessage="1" showErrorMessage="1" sqref="A19 A22 A25" xr:uid="{14F14C9F-71AF-4E03-A8BC-5ECA020ACDD1}">
      <formula1>OCDE</formula1>
    </dataValidation>
    <dataValidation type="list" allowBlank="1" showInputMessage="1" showErrorMessage="1" sqref="B19 B22 B25" xr:uid="{39320BEC-3D4F-4DA9-9D12-BDB5E1858512}">
      <formula1>INDIRECT(A19)</formula1>
    </dataValidation>
  </dataValidation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6"/>
  <sheetViews>
    <sheetView zoomScaleNormal="100" workbookViewId="0">
      <selection activeCell="K14" sqref="K14"/>
    </sheetView>
  </sheetViews>
  <sheetFormatPr baseColWidth="10" defaultRowHeight="14.5"/>
  <cols>
    <col min="1" max="1" width="5.26953125" customWidth="1"/>
  </cols>
  <sheetData>
    <row r="1" spans="1:10">
      <c r="A1" s="28" t="s">
        <v>395</v>
      </c>
      <c r="B1" s="28"/>
      <c r="C1" s="28"/>
      <c r="D1" s="28"/>
      <c r="E1" s="28"/>
      <c r="F1" s="28"/>
      <c r="G1" s="28"/>
      <c r="H1" s="28"/>
      <c r="I1" s="28"/>
      <c r="J1" s="28"/>
    </row>
    <row r="2" spans="1:10">
      <c r="A2" s="28"/>
      <c r="B2" s="28"/>
      <c r="C2" s="28"/>
      <c r="D2" s="28"/>
      <c r="E2" s="28"/>
      <c r="F2" s="28"/>
      <c r="G2" s="28"/>
      <c r="H2" s="28"/>
      <c r="I2" s="28"/>
      <c r="J2" s="28"/>
    </row>
    <row r="3" spans="1:10">
      <c r="A3" s="28" t="s">
        <v>396</v>
      </c>
      <c r="B3" s="28"/>
      <c r="C3" s="28"/>
      <c r="D3" s="28"/>
      <c r="E3" s="28"/>
      <c r="F3" s="28"/>
      <c r="G3" s="28"/>
      <c r="H3" s="28"/>
      <c r="I3" s="28"/>
      <c r="J3" s="28"/>
    </row>
    <row r="4" spans="1:10" ht="15" thickBot="1">
      <c r="A4" s="28"/>
      <c r="B4" s="28"/>
      <c r="C4" s="28"/>
      <c r="D4" s="28"/>
      <c r="E4" s="28"/>
      <c r="F4" s="28"/>
      <c r="G4" s="28"/>
      <c r="H4" s="28"/>
      <c r="I4" s="28"/>
      <c r="J4" s="28"/>
    </row>
    <row r="5" spans="1:10">
      <c r="A5" s="364" t="s">
        <v>398</v>
      </c>
      <c r="B5" s="365"/>
      <c r="C5" s="365"/>
      <c r="D5" s="365"/>
      <c r="E5" s="365"/>
      <c r="F5" s="365"/>
      <c r="G5" s="366"/>
      <c r="H5" s="28"/>
      <c r="I5" s="28"/>
      <c r="J5" s="28"/>
    </row>
    <row r="6" spans="1:10">
      <c r="A6" s="367"/>
      <c r="B6" s="368"/>
      <c r="C6" s="368"/>
      <c r="D6" s="368"/>
      <c r="E6" s="368"/>
      <c r="F6" s="368"/>
      <c r="G6" s="369"/>
      <c r="H6" s="28"/>
      <c r="I6" s="28"/>
      <c r="J6" s="28"/>
    </row>
    <row r="7" spans="1:10" ht="33" customHeight="1" thickBot="1">
      <c r="A7" s="370"/>
      <c r="B7" s="371"/>
      <c r="C7" s="371"/>
      <c r="D7" s="371"/>
      <c r="E7" s="371"/>
      <c r="F7" s="371"/>
      <c r="G7" s="372"/>
      <c r="H7" s="28"/>
      <c r="I7" s="28"/>
      <c r="J7" s="28"/>
    </row>
    <row r="8" spans="1:10" ht="15" thickBot="1">
      <c r="A8" s="28"/>
      <c r="B8" s="28"/>
      <c r="C8" s="28"/>
      <c r="D8" s="28"/>
      <c r="E8" s="28"/>
      <c r="F8" s="28"/>
      <c r="G8" s="28"/>
      <c r="H8" s="28"/>
      <c r="I8" s="28"/>
      <c r="J8" s="28"/>
    </row>
    <row r="9" spans="1:10">
      <c r="A9" s="364" t="s">
        <v>410</v>
      </c>
      <c r="B9" s="365"/>
      <c r="C9" s="365"/>
      <c r="D9" s="365"/>
      <c r="E9" s="365"/>
      <c r="F9" s="365"/>
      <c r="G9" s="366"/>
      <c r="H9" s="28"/>
      <c r="I9" s="28"/>
      <c r="J9" s="28"/>
    </row>
    <row r="10" spans="1:10">
      <c r="A10" s="367"/>
      <c r="B10" s="368"/>
      <c r="C10" s="368"/>
      <c r="D10" s="368"/>
      <c r="E10" s="368"/>
      <c r="F10" s="368"/>
      <c r="G10" s="369"/>
      <c r="H10" s="28"/>
      <c r="I10" s="28"/>
      <c r="J10" s="28"/>
    </row>
    <row r="11" spans="1:10" ht="33" customHeight="1" thickBot="1">
      <c r="A11" s="370"/>
      <c r="B11" s="371"/>
      <c r="C11" s="371"/>
      <c r="D11" s="371"/>
      <c r="E11" s="371"/>
      <c r="F11" s="371"/>
      <c r="G11" s="372"/>
      <c r="H11" s="28"/>
      <c r="I11" s="28"/>
      <c r="J11" s="28"/>
    </row>
    <row r="12" spans="1:10" ht="18.75" customHeight="1" thickBot="1">
      <c r="A12" s="231"/>
      <c r="B12" s="231"/>
      <c r="C12" s="231"/>
      <c r="D12" s="231"/>
      <c r="E12" s="231"/>
      <c r="F12" s="231"/>
      <c r="G12" s="231"/>
      <c r="H12" s="213"/>
      <c r="I12" s="28"/>
      <c r="J12" s="28"/>
    </row>
    <row r="13" spans="1:10">
      <c r="A13" s="230" t="s">
        <v>29</v>
      </c>
      <c r="B13" s="385" t="s">
        <v>411</v>
      </c>
      <c r="C13" s="386"/>
      <c r="D13" s="386"/>
      <c r="E13" s="386"/>
      <c r="F13" s="386"/>
      <c r="G13" s="387"/>
      <c r="H13" s="28"/>
      <c r="I13" s="28"/>
      <c r="J13" s="28"/>
    </row>
    <row r="14" spans="1:10" ht="27" customHeight="1">
      <c r="A14" s="45"/>
      <c r="B14" s="373"/>
      <c r="C14" s="374"/>
      <c r="D14" s="374"/>
      <c r="E14" s="374"/>
      <c r="F14" s="374"/>
      <c r="G14" s="375"/>
      <c r="H14" s="28"/>
      <c r="I14" s="28"/>
      <c r="J14" s="28"/>
    </row>
    <row r="15" spans="1:10" ht="26.25" customHeight="1">
      <c r="A15" s="45"/>
      <c r="B15" s="373"/>
      <c r="C15" s="374"/>
      <c r="D15" s="374"/>
      <c r="E15" s="374"/>
      <c r="F15" s="374"/>
      <c r="G15" s="375"/>
      <c r="H15" s="28"/>
      <c r="I15" s="28"/>
      <c r="J15" s="28"/>
    </row>
    <row r="16" spans="1:10" ht="30.75" customHeight="1">
      <c r="A16" s="45"/>
      <c r="B16" s="373"/>
      <c r="C16" s="374"/>
      <c r="D16" s="374"/>
      <c r="E16" s="374"/>
      <c r="F16" s="374"/>
      <c r="G16" s="375"/>
      <c r="H16" s="28"/>
      <c r="I16" s="28"/>
      <c r="J16" s="28"/>
    </row>
    <row r="17" spans="1:10" ht="36" customHeight="1" thickBot="1">
      <c r="A17" s="47"/>
      <c r="B17" s="376"/>
      <c r="C17" s="377"/>
      <c r="D17" s="377"/>
      <c r="E17" s="377"/>
      <c r="F17" s="377"/>
      <c r="G17" s="378"/>
      <c r="H17" s="28"/>
      <c r="I17" s="28"/>
      <c r="J17" s="28"/>
    </row>
    <row r="18" spans="1:10" ht="17.25" customHeight="1" thickBot="1">
      <c r="A18" s="213"/>
      <c r="B18" s="232"/>
      <c r="C18" s="232"/>
      <c r="D18" s="232"/>
      <c r="E18" s="232"/>
      <c r="F18" s="232"/>
      <c r="G18" s="232"/>
      <c r="H18" s="213"/>
      <c r="I18" s="28"/>
      <c r="J18" s="28"/>
    </row>
    <row r="19" spans="1:10">
      <c r="A19" s="235" t="s">
        <v>29</v>
      </c>
      <c r="B19" s="379" t="s">
        <v>411</v>
      </c>
      <c r="C19" s="380"/>
      <c r="D19" s="380"/>
      <c r="E19" s="380"/>
      <c r="F19" s="380"/>
      <c r="G19" s="381"/>
      <c r="H19" s="28"/>
      <c r="I19" s="28"/>
      <c r="J19" s="28"/>
    </row>
    <row r="20" spans="1:10" ht="24" customHeight="1">
      <c r="A20" s="233"/>
      <c r="B20" s="373"/>
      <c r="C20" s="374"/>
      <c r="D20" s="374"/>
      <c r="E20" s="374"/>
      <c r="F20" s="374"/>
      <c r="G20" s="375"/>
      <c r="H20" s="28"/>
      <c r="I20" s="28"/>
      <c r="J20" s="28"/>
    </row>
    <row r="21" spans="1:10" ht="24" customHeight="1">
      <c r="A21" s="233"/>
      <c r="B21" s="373"/>
      <c r="C21" s="374"/>
      <c r="D21" s="374"/>
      <c r="E21" s="374"/>
      <c r="F21" s="374"/>
      <c r="G21" s="375"/>
      <c r="H21" s="28"/>
      <c r="I21" s="28"/>
      <c r="J21" s="28"/>
    </row>
    <row r="22" spans="1:10" ht="26.25" customHeight="1">
      <c r="A22" s="233"/>
      <c r="B22" s="382"/>
      <c r="C22" s="383"/>
      <c r="D22" s="383"/>
      <c r="E22" s="383"/>
      <c r="F22" s="383"/>
      <c r="G22" s="384"/>
      <c r="H22" s="28"/>
      <c r="I22" s="28"/>
      <c r="J22" s="28"/>
    </row>
    <row r="23" spans="1:10" ht="24.75" customHeight="1" thickBot="1">
      <c r="A23" s="234"/>
      <c r="B23" s="371"/>
      <c r="C23" s="371"/>
      <c r="D23" s="371"/>
      <c r="E23" s="371"/>
      <c r="F23" s="371"/>
      <c r="G23" s="372"/>
      <c r="H23" s="28"/>
      <c r="I23" s="28"/>
      <c r="J23" s="28"/>
    </row>
    <row r="24" spans="1:10" ht="15" thickBot="1">
      <c r="A24" s="28"/>
      <c r="B24" s="28"/>
      <c r="C24" s="28"/>
      <c r="D24" s="28"/>
      <c r="E24" s="28"/>
      <c r="F24" s="28"/>
      <c r="G24" s="28"/>
      <c r="H24" s="28"/>
      <c r="I24" s="28"/>
      <c r="J24" s="28"/>
    </row>
    <row r="25" spans="1:10">
      <c r="A25" s="230" t="s">
        <v>29</v>
      </c>
      <c r="B25" s="385" t="s">
        <v>397</v>
      </c>
      <c r="C25" s="386"/>
      <c r="D25" s="386"/>
      <c r="E25" s="386"/>
      <c r="F25" s="386"/>
      <c r="G25" s="387"/>
      <c r="H25" s="28"/>
      <c r="I25" s="28"/>
      <c r="J25" s="28"/>
    </row>
    <row r="26" spans="1:10" ht="27" customHeight="1">
      <c r="A26" s="45"/>
      <c r="B26" s="373"/>
      <c r="C26" s="374"/>
      <c r="D26" s="374"/>
      <c r="E26" s="374"/>
      <c r="F26" s="374"/>
      <c r="G26" s="375"/>
      <c r="H26" s="28"/>
      <c r="I26" s="28"/>
      <c r="J26" s="28"/>
    </row>
    <row r="27" spans="1:10" ht="20.25" customHeight="1">
      <c r="A27" s="45"/>
      <c r="B27" s="373"/>
      <c r="C27" s="374"/>
      <c r="D27" s="374"/>
      <c r="E27" s="374"/>
      <c r="F27" s="374"/>
      <c r="G27" s="375"/>
      <c r="H27" s="28"/>
      <c r="I27" s="28"/>
      <c r="J27" s="28"/>
    </row>
    <row r="28" spans="1:10" ht="28.5" customHeight="1">
      <c r="A28" s="45"/>
      <c r="B28" s="373"/>
      <c r="C28" s="374"/>
      <c r="D28" s="374"/>
      <c r="E28" s="374"/>
      <c r="F28" s="374"/>
      <c r="G28" s="375"/>
      <c r="H28" s="28"/>
      <c r="I28" s="28"/>
      <c r="J28" s="28"/>
    </row>
    <row r="29" spans="1:10" ht="21.75" customHeight="1">
      <c r="A29" s="45"/>
      <c r="B29" s="373"/>
      <c r="C29" s="374"/>
      <c r="D29" s="374"/>
      <c r="E29" s="374"/>
      <c r="F29" s="374"/>
      <c r="G29" s="375"/>
      <c r="H29" s="28"/>
      <c r="I29" s="28"/>
      <c r="J29" s="28"/>
    </row>
    <row r="30" spans="1:10" ht="27.75" customHeight="1">
      <c r="A30" s="45"/>
      <c r="B30" s="373"/>
      <c r="C30" s="374"/>
      <c r="D30" s="374"/>
      <c r="E30" s="374"/>
      <c r="F30" s="374"/>
      <c r="G30" s="375"/>
      <c r="H30" s="28"/>
      <c r="I30" s="28"/>
      <c r="J30" s="28"/>
    </row>
    <row r="31" spans="1:10" ht="28.5" customHeight="1" thickBot="1">
      <c r="A31" s="47"/>
      <c r="B31" s="376"/>
      <c r="C31" s="377"/>
      <c r="D31" s="377"/>
      <c r="E31" s="377"/>
      <c r="F31" s="377"/>
      <c r="G31" s="378"/>
      <c r="H31" s="28"/>
      <c r="I31" s="28"/>
      <c r="J31" s="28"/>
    </row>
    <row r="32" spans="1:10">
      <c r="A32" s="28"/>
      <c r="B32" s="28"/>
      <c r="C32" s="28"/>
      <c r="D32" s="28"/>
      <c r="E32" s="28"/>
      <c r="F32" s="28"/>
      <c r="G32" s="28"/>
      <c r="H32" s="28"/>
      <c r="I32" s="28"/>
      <c r="J32" s="28"/>
    </row>
    <row r="33" spans="1:10">
      <c r="A33" s="28"/>
      <c r="B33" s="28"/>
      <c r="C33" s="28"/>
      <c r="D33" s="28"/>
      <c r="E33" s="28"/>
      <c r="F33" s="28"/>
      <c r="G33" s="28"/>
      <c r="H33" s="28"/>
      <c r="I33" s="28"/>
      <c r="J33" s="28"/>
    </row>
    <row r="34" spans="1:10">
      <c r="A34" s="28"/>
      <c r="B34" s="28"/>
      <c r="C34" s="28"/>
      <c r="D34" s="28"/>
      <c r="E34" s="28"/>
      <c r="F34" s="28"/>
      <c r="G34" s="28"/>
      <c r="H34" s="28"/>
      <c r="I34" s="28"/>
      <c r="J34" s="28"/>
    </row>
    <row r="35" spans="1:10">
      <c r="A35" s="28"/>
      <c r="B35" s="28"/>
      <c r="C35" s="28"/>
      <c r="D35" s="28"/>
      <c r="E35" s="28"/>
      <c r="F35" s="28"/>
      <c r="G35" s="28"/>
      <c r="H35" s="28"/>
      <c r="I35" s="28"/>
      <c r="J35" s="28"/>
    </row>
    <row r="36" spans="1:10">
      <c r="A36" s="28"/>
      <c r="B36" s="28"/>
      <c r="C36" s="28"/>
      <c r="D36" s="28"/>
      <c r="E36" s="28"/>
      <c r="F36" s="28"/>
      <c r="G36" s="28"/>
    </row>
  </sheetData>
  <mergeCells count="21">
    <mergeCell ref="B29:G29"/>
    <mergeCell ref="B30:G30"/>
    <mergeCell ref="B31:G31"/>
    <mergeCell ref="B13:G13"/>
    <mergeCell ref="B14:G14"/>
    <mergeCell ref="B15:G15"/>
    <mergeCell ref="B16:G16"/>
    <mergeCell ref="A5:G5"/>
    <mergeCell ref="A6:G7"/>
    <mergeCell ref="B27:G27"/>
    <mergeCell ref="B28:G28"/>
    <mergeCell ref="B17:G17"/>
    <mergeCell ref="B19:G19"/>
    <mergeCell ref="B20:G20"/>
    <mergeCell ref="B21:G21"/>
    <mergeCell ref="B22:G22"/>
    <mergeCell ref="B23:G23"/>
    <mergeCell ref="A10:G11"/>
    <mergeCell ref="B25:G25"/>
    <mergeCell ref="B26:G26"/>
    <mergeCell ref="A9:G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46DC-1E9F-4BE9-B6FE-A49A37FE261C}">
  <dimension ref="A1:X23"/>
  <sheetViews>
    <sheetView zoomScale="90" zoomScaleNormal="90" workbookViewId="0">
      <selection activeCell="E25" sqref="E25"/>
    </sheetView>
  </sheetViews>
  <sheetFormatPr baseColWidth="10" defaultRowHeight="14.5"/>
  <cols>
    <col min="1" max="1" width="9.7265625" customWidth="1"/>
    <col min="2" max="5" width="29.54296875" customWidth="1"/>
    <col min="6" max="6" width="15" customWidth="1"/>
    <col min="7" max="7" width="17.453125" customWidth="1"/>
    <col min="8" max="9" width="24.81640625" customWidth="1"/>
    <col min="10" max="10" width="20.7265625" customWidth="1"/>
    <col min="11" max="18" width="17.453125" customWidth="1"/>
  </cols>
  <sheetData>
    <row r="1" spans="1:24" ht="18" customHeight="1">
      <c r="A1" s="98" t="s">
        <v>283</v>
      </c>
      <c r="B1" s="224"/>
      <c r="C1" s="224"/>
      <c r="D1" s="224"/>
      <c r="E1" s="224"/>
      <c r="F1" s="224"/>
      <c r="G1" s="28"/>
      <c r="H1" s="28"/>
      <c r="I1" s="28"/>
      <c r="J1" s="28"/>
      <c r="K1" s="28"/>
      <c r="L1" s="28"/>
      <c r="M1" s="28"/>
      <c r="N1" s="28"/>
      <c r="O1" s="28"/>
      <c r="P1" s="28"/>
      <c r="Q1" s="28"/>
      <c r="R1" s="28"/>
      <c r="S1" s="28"/>
      <c r="T1" s="28"/>
      <c r="U1" s="28"/>
      <c r="V1" s="28"/>
    </row>
    <row r="2" spans="1:24" ht="27" customHeight="1">
      <c r="A2" s="98"/>
      <c r="B2" s="224"/>
      <c r="C2" s="224"/>
      <c r="D2" s="224"/>
      <c r="E2" s="224"/>
      <c r="F2" s="224"/>
      <c r="G2" s="28"/>
      <c r="H2" s="28"/>
      <c r="I2" s="28"/>
      <c r="J2" s="28"/>
      <c r="K2" s="28"/>
      <c r="L2" s="28"/>
      <c r="M2" s="28"/>
      <c r="N2" s="28"/>
      <c r="O2" s="28"/>
      <c r="P2" s="28"/>
      <c r="Q2" s="28"/>
      <c r="R2" s="28"/>
      <c r="S2" s="28"/>
      <c r="T2" s="28"/>
      <c r="U2" s="28"/>
      <c r="V2" s="28"/>
    </row>
    <row r="3" spans="1:24" s="128" customFormat="1" ht="35" customHeight="1">
      <c r="A3" s="655" t="s">
        <v>292</v>
      </c>
      <c r="B3" s="655"/>
      <c r="C3" s="655"/>
      <c r="D3" s="655"/>
      <c r="E3" s="655"/>
      <c r="F3" s="655"/>
      <c r="G3" s="127"/>
      <c r="H3" s="127"/>
      <c r="I3" s="127"/>
      <c r="J3" s="127"/>
      <c r="K3" s="127"/>
      <c r="L3" s="127"/>
      <c r="M3" s="127"/>
      <c r="N3" s="127"/>
      <c r="O3" s="127"/>
      <c r="P3" s="127"/>
      <c r="Q3" s="127"/>
      <c r="R3" s="127"/>
      <c r="S3" s="127"/>
      <c r="T3" s="127"/>
      <c r="U3" s="127"/>
      <c r="V3" s="127"/>
    </row>
    <row r="4" spans="1:24" ht="27.5" customHeight="1">
      <c r="A4" s="28"/>
      <c r="B4" s="28"/>
      <c r="C4" s="28"/>
      <c r="D4" s="28"/>
      <c r="E4" s="28"/>
      <c r="F4" s="28"/>
      <c r="G4" s="28"/>
      <c r="H4" s="28"/>
      <c r="I4" s="28"/>
      <c r="J4" s="28"/>
      <c r="K4" s="28"/>
      <c r="L4" s="28"/>
      <c r="M4" s="28"/>
      <c r="N4" s="28"/>
      <c r="O4" s="28"/>
      <c r="P4" s="28"/>
      <c r="Q4" s="28"/>
      <c r="R4" s="28"/>
      <c r="S4" s="28"/>
      <c r="T4" s="28"/>
      <c r="U4" s="28"/>
      <c r="V4" s="28"/>
    </row>
    <row r="5" spans="1:24" ht="15.5">
      <c r="A5" s="394" t="s">
        <v>617</v>
      </c>
      <c r="B5" s="392" t="s">
        <v>9</v>
      </c>
      <c r="C5" s="393"/>
      <c r="D5" s="393"/>
      <c r="E5" s="393"/>
      <c r="F5" s="393"/>
      <c r="G5" s="393"/>
      <c r="H5" s="398" t="s">
        <v>482</v>
      </c>
      <c r="I5" s="399"/>
      <c r="J5" s="396" t="s">
        <v>14</v>
      </c>
      <c r="K5" s="396"/>
      <c r="L5" s="396"/>
      <c r="M5" s="396"/>
      <c r="N5" s="391" t="s">
        <v>15</v>
      </c>
      <c r="O5" s="391"/>
      <c r="P5" s="391"/>
      <c r="Q5" s="391"/>
      <c r="R5" s="388" t="s">
        <v>0</v>
      </c>
      <c r="S5" s="28"/>
      <c r="T5" s="28"/>
      <c r="U5" s="28"/>
      <c r="V5" s="28"/>
    </row>
    <row r="6" spans="1:24" ht="23.15" customHeight="1">
      <c r="A6" s="394"/>
      <c r="B6" s="405" t="s">
        <v>297</v>
      </c>
      <c r="C6" s="405"/>
      <c r="D6" s="407" t="s">
        <v>298</v>
      </c>
      <c r="E6" s="408"/>
      <c r="F6" s="406" t="s">
        <v>10</v>
      </c>
      <c r="G6" s="406" t="s">
        <v>13</v>
      </c>
      <c r="H6" s="400"/>
      <c r="I6" s="401"/>
      <c r="J6" s="397"/>
      <c r="K6" s="397"/>
      <c r="L6" s="397"/>
      <c r="M6" s="397"/>
      <c r="N6" s="391"/>
      <c r="O6" s="391"/>
      <c r="P6" s="391"/>
      <c r="Q6" s="391"/>
      <c r="R6" s="388"/>
      <c r="S6" s="349"/>
      <c r="T6" s="349"/>
      <c r="U6" s="349"/>
      <c r="V6" s="349"/>
      <c r="W6" s="348"/>
      <c r="X6" s="348"/>
    </row>
    <row r="7" spans="1:24" ht="61" customHeight="1">
      <c r="A7" s="394"/>
      <c r="B7" s="702" t="s">
        <v>300</v>
      </c>
      <c r="C7" s="702"/>
      <c r="D7" s="703" t="s">
        <v>301</v>
      </c>
      <c r="E7" s="704"/>
      <c r="F7" s="406"/>
      <c r="G7" s="406"/>
      <c r="H7" s="402"/>
      <c r="I7" s="403"/>
      <c r="J7" s="404" t="s">
        <v>299</v>
      </c>
      <c r="K7" s="705"/>
      <c r="L7" s="705"/>
      <c r="M7" s="706"/>
      <c r="N7" s="390" t="s">
        <v>12</v>
      </c>
      <c r="O7" s="390" t="s">
        <v>618</v>
      </c>
      <c r="P7" s="390" t="s">
        <v>619</v>
      </c>
      <c r="Q7" s="390" t="s">
        <v>620</v>
      </c>
      <c r="R7" s="388"/>
      <c r="S7" s="349"/>
      <c r="T7" s="349"/>
      <c r="U7" s="349"/>
      <c r="V7" s="349"/>
      <c r="W7" s="348"/>
      <c r="X7" s="348"/>
    </row>
    <row r="8" spans="1:24" ht="87">
      <c r="A8" s="395"/>
      <c r="B8" s="350" t="s">
        <v>295</v>
      </c>
      <c r="C8" s="350" t="s">
        <v>11</v>
      </c>
      <c r="D8" s="350" t="s">
        <v>289</v>
      </c>
      <c r="E8" s="125" t="s">
        <v>296</v>
      </c>
      <c r="F8" s="406"/>
      <c r="G8" s="406"/>
      <c r="H8" s="356" t="s">
        <v>7</v>
      </c>
      <c r="I8" s="355" t="s">
        <v>8</v>
      </c>
      <c r="J8" s="353" t="s">
        <v>288</v>
      </c>
      <c r="K8" s="353" t="s">
        <v>4</v>
      </c>
      <c r="L8" s="353" t="s">
        <v>5</v>
      </c>
      <c r="M8" s="353" t="s">
        <v>6</v>
      </c>
      <c r="N8" s="390"/>
      <c r="O8" s="390"/>
      <c r="P8" s="390"/>
      <c r="Q8" s="390"/>
      <c r="R8" s="389"/>
      <c r="S8" s="28"/>
      <c r="T8" s="28"/>
      <c r="U8" s="28"/>
      <c r="V8" s="28"/>
    </row>
    <row r="9" spans="1:24">
      <c r="A9" s="707" t="str">
        <f>'1. Identificación carrera'!B30</f>
        <v>2022-I</v>
      </c>
      <c r="B9" s="74"/>
      <c r="C9" s="74"/>
      <c r="D9" s="74"/>
      <c r="E9" s="708"/>
      <c r="F9" s="7">
        <v>0</v>
      </c>
      <c r="G9" s="7">
        <v>0</v>
      </c>
      <c r="H9" s="7"/>
      <c r="I9" s="709"/>
      <c r="J9" s="710"/>
      <c r="K9" s="711"/>
      <c r="L9" s="711"/>
      <c r="M9" s="709"/>
      <c r="N9" s="710"/>
      <c r="O9" s="711"/>
      <c r="P9" s="711"/>
      <c r="Q9" s="709"/>
      <c r="R9" s="712"/>
      <c r="S9" s="28"/>
      <c r="T9" s="28"/>
      <c r="U9" s="28"/>
      <c r="V9" s="28"/>
    </row>
    <row r="10" spans="1:24">
      <c r="A10" s="707" t="str">
        <f>'1. Identificación carrera'!B31</f>
        <v>2022-II</v>
      </c>
      <c r="B10" s="74"/>
      <c r="C10" s="74"/>
      <c r="D10" s="74"/>
      <c r="E10" s="708"/>
      <c r="F10" s="7">
        <v>0</v>
      </c>
      <c r="G10" s="7">
        <v>0</v>
      </c>
      <c r="H10" s="7"/>
      <c r="I10" s="709"/>
      <c r="J10" s="710"/>
      <c r="K10" s="711"/>
      <c r="L10" s="711"/>
      <c r="M10" s="709"/>
      <c r="N10" s="710"/>
      <c r="O10" s="711"/>
      <c r="P10" s="711"/>
      <c r="Q10" s="709"/>
      <c r="R10" s="712"/>
      <c r="S10" s="28"/>
      <c r="T10" s="28"/>
      <c r="U10" s="28"/>
      <c r="V10" s="28"/>
    </row>
    <row r="11" spans="1:24">
      <c r="A11" s="707" t="str">
        <f>'1. Identificación carrera'!B32</f>
        <v>2023-I</v>
      </c>
      <c r="B11" s="74"/>
      <c r="C11" s="74"/>
      <c r="D11" s="74"/>
      <c r="E11" s="708"/>
      <c r="F11" s="7">
        <v>0</v>
      </c>
      <c r="G11" s="7">
        <v>0</v>
      </c>
      <c r="H11" s="7"/>
      <c r="I11" s="709"/>
      <c r="J11" s="710"/>
      <c r="K11" s="711"/>
      <c r="L11" s="711"/>
      <c r="M11" s="709"/>
      <c r="N11" s="710"/>
      <c r="O11" s="711"/>
      <c r="P11" s="711"/>
      <c r="Q11" s="709"/>
      <c r="R11" s="712"/>
      <c r="S11" s="28"/>
      <c r="T11" s="28"/>
      <c r="U11" s="28"/>
      <c r="V11" s="28"/>
    </row>
    <row r="12" spans="1:24">
      <c r="A12" s="707" t="str">
        <f>'1. Identificación carrera'!B33</f>
        <v>2023-II</v>
      </c>
      <c r="B12" s="74"/>
      <c r="C12" s="74"/>
      <c r="D12" s="74"/>
      <c r="E12" s="708"/>
      <c r="F12" s="7">
        <v>0</v>
      </c>
      <c r="G12" s="7">
        <v>0</v>
      </c>
      <c r="H12" s="7"/>
      <c r="I12" s="709"/>
      <c r="J12" s="710"/>
      <c r="K12" s="711"/>
      <c r="L12" s="711"/>
      <c r="M12" s="709"/>
      <c r="N12" s="710"/>
      <c r="O12" s="711"/>
      <c r="P12" s="711"/>
      <c r="Q12" s="709"/>
      <c r="R12" s="712"/>
      <c r="S12" s="28"/>
      <c r="T12" s="28"/>
      <c r="U12" s="28"/>
      <c r="V12" s="28"/>
    </row>
    <row r="13" spans="1:24">
      <c r="A13" s="707" t="str">
        <f>'1. Identificación carrera'!B34</f>
        <v>2024-I</v>
      </c>
      <c r="B13" s="74"/>
      <c r="C13" s="74"/>
      <c r="D13" s="74"/>
      <c r="E13" s="708"/>
      <c r="F13" s="7">
        <v>0</v>
      </c>
      <c r="G13" s="7">
        <v>0</v>
      </c>
      <c r="H13" s="7"/>
      <c r="I13" s="709"/>
      <c r="J13" s="710"/>
      <c r="K13" s="711"/>
      <c r="L13" s="711"/>
      <c r="M13" s="709"/>
      <c r="N13" s="710"/>
      <c r="O13" s="711"/>
      <c r="P13" s="711"/>
      <c r="Q13" s="709"/>
      <c r="R13" s="712"/>
      <c r="S13" s="28"/>
      <c r="T13" s="28"/>
      <c r="U13" s="28"/>
      <c r="V13" s="28"/>
    </row>
    <row r="14" spans="1:24">
      <c r="A14" s="707" t="str">
        <f>'1. Identificación carrera'!B35</f>
        <v>2024-II</v>
      </c>
      <c r="B14" s="117"/>
      <c r="C14" s="117"/>
      <c r="D14" s="117"/>
      <c r="E14" s="117"/>
      <c r="F14" s="117">
        <f>B14+D14</f>
        <v>0</v>
      </c>
      <c r="G14" s="50">
        <f>C14+E14</f>
        <v>0</v>
      </c>
      <c r="H14" s="35"/>
      <c r="I14" s="36"/>
      <c r="J14" s="35"/>
      <c r="K14" s="6"/>
      <c r="L14" s="6"/>
      <c r="M14" s="36"/>
      <c r="N14" s="35"/>
      <c r="O14" s="6"/>
      <c r="P14" s="6"/>
      <c r="Q14" s="36"/>
      <c r="R14" s="41"/>
      <c r="S14" s="28"/>
      <c r="T14" s="28"/>
      <c r="U14" s="28"/>
      <c r="V14" s="28"/>
    </row>
    <row r="15" spans="1:24">
      <c r="A15" s="707" t="str">
        <f>'1. Identificación carrera'!B36</f>
        <v>2025-I</v>
      </c>
      <c r="B15" s="117"/>
      <c r="C15" s="117"/>
      <c r="D15" s="117"/>
      <c r="E15" s="117"/>
      <c r="F15" s="117">
        <f t="shared" ref="F15:F18" si="0">B15+D15</f>
        <v>0</v>
      </c>
      <c r="G15" s="50">
        <f>C15+E15</f>
        <v>0</v>
      </c>
      <c r="H15" s="35"/>
      <c r="I15" s="36"/>
      <c r="J15" s="35"/>
      <c r="K15" s="6"/>
      <c r="L15" s="6"/>
      <c r="M15" s="36"/>
      <c r="N15" s="35"/>
      <c r="O15" s="6"/>
      <c r="P15" s="6"/>
      <c r="Q15" s="36"/>
      <c r="R15" s="41"/>
      <c r="S15" s="28"/>
      <c r="T15" s="28"/>
      <c r="U15" s="28"/>
      <c r="V15" s="28"/>
    </row>
    <row r="16" spans="1:24">
      <c r="A16" s="707" t="str">
        <f>'1. Identificación carrera'!B37</f>
        <v>2025-II</v>
      </c>
      <c r="B16" s="117"/>
      <c r="C16" s="117"/>
      <c r="D16" s="117"/>
      <c r="E16" s="117"/>
      <c r="F16" s="117">
        <f t="shared" si="0"/>
        <v>0</v>
      </c>
      <c r="G16" s="50">
        <f>C16+E16</f>
        <v>0</v>
      </c>
      <c r="H16" s="35"/>
      <c r="I16" s="36"/>
      <c r="J16" s="35"/>
      <c r="K16" s="6"/>
      <c r="L16" s="6"/>
      <c r="M16" s="36"/>
      <c r="N16" s="35"/>
      <c r="O16" s="6"/>
      <c r="P16" s="6"/>
      <c r="Q16" s="36"/>
      <c r="R16" s="41"/>
      <c r="S16" s="28"/>
      <c r="T16" s="28"/>
      <c r="U16" s="28"/>
      <c r="V16" s="28"/>
    </row>
    <row r="17" spans="1:22">
      <c r="A17" s="707" t="str">
        <f>'1. Identificación carrera'!B38</f>
        <v>2026-I</v>
      </c>
      <c r="B17" s="117"/>
      <c r="C17" s="117"/>
      <c r="D17" s="117"/>
      <c r="E17" s="117"/>
      <c r="F17" s="117">
        <f t="shared" si="0"/>
        <v>0</v>
      </c>
      <c r="G17" s="50">
        <f>C17+E17</f>
        <v>0</v>
      </c>
      <c r="H17" s="35"/>
      <c r="I17" s="36"/>
      <c r="J17" s="35"/>
      <c r="K17" s="6"/>
      <c r="L17" s="6"/>
      <c r="M17" s="36"/>
      <c r="N17" s="35"/>
      <c r="O17" s="6"/>
      <c r="P17" s="6"/>
      <c r="Q17" s="36"/>
      <c r="R17" s="41"/>
      <c r="S17" s="28"/>
      <c r="T17" s="28"/>
      <c r="U17" s="28"/>
      <c r="V17" s="28"/>
    </row>
    <row r="18" spans="1:22" ht="15" thickBot="1">
      <c r="A18" s="707" t="str">
        <f>'1. Identificación carrera'!B39</f>
        <v>2026-II</v>
      </c>
      <c r="B18" s="118"/>
      <c r="C18" s="118"/>
      <c r="D18" s="118"/>
      <c r="E18" s="118"/>
      <c r="F18" s="118">
        <f t="shared" si="0"/>
        <v>0</v>
      </c>
      <c r="G18" s="51">
        <f>C18+E18</f>
        <v>0</v>
      </c>
      <c r="H18" s="37"/>
      <c r="I18" s="39"/>
      <c r="J18" s="37"/>
      <c r="K18" s="38"/>
      <c r="L18" s="38"/>
      <c r="M18" s="39"/>
      <c r="N18" s="37"/>
      <c r="O18" s="38"/>
      <c r="P18" s="38"/>
      <c r="Q18" s="39"/>
      <c r="R18" s="42"/>
      <c r="S18" s="28"/>
      <c r="T18" s="28"/>
      <c r="U18" s="28"/>
      <c r="V18" s="28"/>
    </row>
    <row r="19" spans="1:22">
      <c r="A19" s="28"/>
      <c r="B19" s="28"/>
      <c r="C19" s="28"/>
      <c r="D19" s="28"/>
      <c r="E19" s="28"/>
      <c r="F19" s="28"/>
      <c r="G19" s="28"/>
      <c r="H19" s="28"/>
      <c r="I19" s="28"/>
      <c r="J19" s="28"/>
      <c r="K19" s="28"/>
      <c r="L19" s="28"/>
      <c r="M19" s="28"/>
      <c r="N19" s="28"/>
      <c r="O19" s="28"/>
      <c r="P19" s="28"/>
      <c r="Q19" s="28"/>
      <c r="R19" s="28"/>
      <c r="S19" s="28"/>
      <c r="T19" s="28"/>
      <c r="U19" s="28"/>
      <c r="V19" s="28"/>
    </row>
    <row r="20" spans="1:22">
      <c r="A20" s="28"/>
      <c r="B20" s="28"/>
      <c r="C20" s="28"/>
      <c r="D20" s="28"/>
      <c r="E20" s="28"/>
      <c r="F20" s="28"/>
      <c r="G20" s="28"/>
      <c r="H20" s="28"/>
      <c r="I20" s="28"/>
      <c r="J20" s="28"/>
      <c r="K20" s="28"/>
      <c r="L20" s="28"/>
      <c r="M20" s="28"/>
      <c r="N20" s="28"/>
      <c r="O20" s="28"/>
      <c r="P20" s="28"/>
      <c r="Q20" s="28"/>
      <c r="R20" s="28"/>
      <c r="S20" s="28"/>
      <c r="T20" s="28"/>
      <c r="U20" s="28"/>
      <c r="V20" s="28"/>
    </row>
    <row r="21" spans="1:22">
      <c r="A21" s="28"/>
      <c r="B21" s="28"/>
      <c r="C21" s="28"/>
      <c r="D21" s="28"/>
      <c r="E21" s="28"/>
      <c r="F21" s="28"/>
      <c r="G21" s="28"/>
      <c r="H21" s="28"/>
      <c r="I21" s="28"/>
      <c r="J21" s="28"/>
      <c r="K21" s="28"/>
      <c r="L21" s="28"/>
      <c r="M21" s="28"/>
      <c r="N21" s="28"/>
      <c r="O21" s="28"/>
      <c r="P21" s="28"/>
      <c r="Q21" s="28"/>
      <c r="R21" s="28"/>
      <c r="S21" s="28"/>
      <c r="T21" s="28"/>
      <c r="U21" s="28"/>
      <c r="V21" s="28"/>
    </row>
    <row r="22" spans="1:22">
      <c r="A22" s="28"/>
      <c r="B22" s="28"/>
      <c r="C22" s="28"/>
      <c r="D22" s="28"/>
      <c r="E22" s="28"/>
      <c r="F22" s="28"/>
      <c r="G22" s="28"/>
      <c r="H22" s="28"/>
      <c r="I22" s="28"/>
      <c r="J22" s="28"/>
      <c r="K22" s="28"/>
      <c r="L22" s="28"/>
      <c r="M22" s="28"/>
      <c r="N22" s="28"/>
      <c r="O22" s="28"/>
      <c r="P22" s="28"/>
      <c r="Q22" s="28"/>
      <c r="R22" s="28"/>
      <c r="S22" s="28"/>
      <c r="T22" s="28"/>
      <c r="U22" s="28"/>
      <c r="V22" s="28"/>
    </row>
    <row r="23" spans="1:22">
      <c r="A23" s="28"/>
      <c r="B23" s="28"/>
      <c r="C23" s="28"/>
      <c r="D23" s="28"/>
      <c r="E23" s="28"/>
      <c r="F23" s="28"/>
      <c r="G23" s="28"/>
      <c r="H23" s="28"/>
      <c r="I23" s="28"/>
      <c r="J23" s="28"/>
      <c r="K23" s="28"/>
      <c r="L23" s="28"/>
      <c r="M23" s="28"/>
      <c r="N23" s="28"/>
      <c r="O23" s="28"/>
      <c r="P23" s="28"/>
      <c r="Q23" s="28"/>
      <c r="R23" s="28"/>
      <c r="S23" s="28"/>
      <c r="T23" s="28"/>
      <c r="U23" s="28"/>
      <c r="V23" s="28"/>
    </row>
  </sheetData>
  <autoFilter ref="A8:X8" xr:uid="{00000000-0009-0000-0000-000005000000}"/>
  <mergeCells count="18">
    <mergeCell ref="R5:R8"/>
    <mergeCell ref="B6:C6"/>
    <mergeCell ref="D6:E6"/>
    <mergeCell ref="F6:F8"/>
    <mergeCell ref="G6:G8"/>
    <mergeCell ref="B7:C7"/>
    <mergeCell ref="D7:E7"/>
    <mergeCell ref="J7:M7"/>
    <mergeCell ref="N7:N8"/>
    <mergeCell ref="O7:O8"/>
    <mergeCell ref="A3:F3"/>
    <mergeCell ref="A5:A8"/>
    <mergeCell ref="B5:G5"/>
    <mergeCell ref="H5:I7"/>
    <mergeCell ref="J5:M6"/>
    <mergeCell ref="N5:Q6"/>
    <mergeCell ref="P7:P8"/>
    <mergeCell ref="Q7:Q8"/>
  </mergeCell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B1F46-A51E-4ED2-8998-EC32B13A6458}">
  <dimension ref="A1:AE36"/>
  <sheetViews>
    <sheetView topLeftCell="A3" zoomScale="90" zoomScaleNormal="90" workbookViewId="0">
      <selection activeCell="Y26" sqref="Y26:Y27"/>
    </sheetView>
  </sheetViews>
  <sheetFormatPr baseColWidth="10" defaultRowHeight="14.5"/>
  <cols>
    <col min="1" max="1" width="19.1796875" customWidth="1"/>
    <col min="2" max="19" width="7.453125" customWidth="1"/>
    <col min="20" max="20" width="8.81640625" customWidth="1"/>
    <col min="21" max="21" width="9" customWidth="1"/>
    <col min="22" max="22" width="15.26953125" customWidth="1"/>
    <col min="23" max="23" width="14.81640625" customWidth="1"/>
    <col min="24" max="24" width="14.7265625" customWidth="1"/>
    <col min="25" max="27" width="13.1796875" customWidth="1"/>
    <col min="28" max="28" width="14.453125" customWidth="1"/>
  </cols>
  <sheetData>
    <row r="1" spans="1:31" ht="20.5" customHeight="1">
      <c r="A1" s="17" t="s">
        <v>621</v>
      </c>
    </row>
    <row r="2" spans="1:31" ht="12.75" customHeight="1">
      <c r="A2" s="17"/>
    </row>
    <row r="3" spans="1:31" ht="84" customHeight="1">
      <c r="A3" s="419" t="s">
        <v>483</v>
      </c>
      <c r="B3" s="419"/>
      <c r="C3" s="419"/>
      <c r="D3" s="419"/>
      <c r="E3" s="419"/>
      <c r="F3" s="419"/>
      <c r="G3" s="419"/>
      <c r="H3" s="419"/>
      <c r="I3" s="419"/>
    </row>
    <row r="4" spans="1:31" ht="20.5" customHeight="1">
      <c r="A4" s="713"/>
      <c r="B4" s="463"/>
      <c r="C4" s="463"/>
      <c r="D4" s="463"/>
      <c r="E4" s="463"/>
      <c r="F4" s="463"/>
      <c r="G4" s="463"/>
      <c r="H4" s="463"/>
      <c r="I4" s="463"/>
      <c r="J4" s="463"/>
      <c r="K4" s="463"/>
      <c r="L4" s="463"/>
      <c r="M4" s="463"/>
      <c r="N4" s="463"/>
      <c r="O4" s="463"/>
      <c r="P4" s="463"/>
      <c r="Q4" s="463"/>
      <c r="R4" s="463"/>
      <c r="S4" s="463"/>
      <c r="T4" s="463"/>
      <c r="U4" s="352"/>
      <c r="V4" s="352"/>
      <c r="W4" s="352"/>
      <c r="X4" s="352"/>
    </row>
    <row r="5" spans="1:31" ht="41.15" customHeight="1">
      <c r="A5" s="714" t="s">
        <v>622</v>
      </c>
      <c r="B5" s="407" t="s">
        <v>623</v>
      </c>
      <c r="C5" s="416"/>
      <c r="D5" s="416"/>
      <c r="E5" s="416"/>
      <c r="F5" s="416"/>
      <c r="G5" s="416"/>
      <c r="H5" s="416"/>
      <c r="I5" s="416"/>
      <c r="J5" s="416"/>
      <c r="K5" s="416"/>
      <c r="L5" s="416"/>
      <c r="M5" s="416"/>
      <c r="N5" s="416"/>
      <c r="O5" s="416"/>
      <c r="P5" s="416"/>
      <c r="Q5" s="416"/>
      <c r="R5" s="416"/>
      <c r="S5" s="416"/>
      <c r="T5" s="416"/>
      <c r="U5" s="408"/>
      <c r="V5" s="715" t="s">
        <v>26</v>
      </c>
      <c r="W5" s="716"/>
      <c r="X5" s="717"/>
      <c r="Y5" s="433" t="s">
        <v>23</v>
      </c>
      <c r="Z5" s="433"/>
      <c r="AA5" s="433"/>
      <c r="AB5" s="413" t="s">
        <v>0</v>
      </c>
    </row>
    <row r="6" spans="1:31" ht="65.150000000000006" customHeight="1">
      <c r="A6" s="718"/>
      <c r="B6" s="426"/>
      <c r="C6" s="417"/>
      <c r="D6" s="417"/>
      <c r="E6" s="417"/>
      <c r="F6" s="417"/>
      <c r="G6" s="417"/>
      <c r="H6" s="417"/>
      <c r="I6" s="417"/>
      <c r="J6" s="417"/>
      <c r="K6" s="417"/>
      <c r="L6" s="417"/>
      <c r="M6" s="417"/>
      <c r="N6" s="417"/>
      <c r="O6" s="417"/>
      <c r="P6" s="417"/>
      <c r="Q6" s="417"/>
      <c r="R6" s="417"/>
      <c r="S6" s="417"/>
      <c r="T6" s="417"/>
      <c r="U6" s="418"/>
      <c r="V6" s="719" t="s">
        <v>302</v>
      </c>
      <c r="W6" s="720"/>
      <c r="X6" s="721"/>
      <c r="Y6" s="433"/>
      <c r="Z6" s="433"/>
      <c r="AA6" s="433"/>
      <c r="AB6" s="413"/>
    </row>
    <row r="7" spans="1:31" ht="43.5">
      <c r="A7" s="722"/>
      <c r="B7" s="345" t="str">
        <f>A8</f>
        <v>2017-I</v>
      </c>
      <c r="C7" s="345" t="str">
        <f>A9</f>
        <v>2017-II</v>
      </c>
      <c r="D7" s="345" t="str">
        <f>A10</f>
        <v>2018-I</v>
      </c>
      <c r="E7" s="345" t="str">
        <f>A11</f>
        <v>2018-II</v>
      </c>
      <c r="F7" s="345" t="str">
        <f>$A12</f>
        <v>2019-I</v>
      </c>
      <c r="G7" s="345" t="str">
        <f>$A13</f>
        <v>2019-II</v>
      </c>
      <c r="H7" s="345" t="str">
        <f>$A14</f>
        <v>2020-I</v>
      </c>
      <c r="I7" s="345" t="str">
        <f>$A15</f>
        <v>2020-II</v>
      </c>
      <c r="J7" s="345" t="str">
        <f>$A16</f>
        <v>2021-I</v>
      </c>
      <c r="K7" s="345" t="str">
        <f>$A17</f>
        <v>2021-II</v>
      </c>
      <c r="L7" s="345" t="str">
        <f>$A18</f>
        <v>2022-I</v>
      </c>
      <c r="M7" s="345" t="str">
        <f>$A19</f>
        <v>2022-II</v>
      </c>
      <c r="N7" s="345" t="str">
        <f>$A20</f>
        <v>2023-I</v>
      </c>
      <c r="O7" s="345" t="str">
        <f>$A21</f>
        <v>2023-II</v>
      </c>
      <c r="P7" s="345" t="str">
        <f>$A22</f>
        <v>2024-I</v>
      </c>
      <c r="Q7" s="345" t="str">
        <f>$A23</f>
        <v>2024-II</v>
      </c>
      <c r="R7" s="345" t="str">
        <f>$A24</f>
        <v>2025-I</v>
      </c>
      <c r="S7" s="345" t="str">
        <f>$A25</f>
        <v>2025-II</v>
      </c>
      <c r="T7" s="345" t="str">
        <f>A26</f>
        <v>2026-I</v>
      </c>
      <c r="U7" s="345" t="str">
        <f>'1. Identificación carrera'!B39</f>
        <v>2026-II</v>
      </c>
      <c r="V7" s="346" t="s">
        <v>27</v>
      </c>
      <c r="W7" s="346" t="s">
        <v>28</v>
      </c>
      <c r="X7" s="346" t="s">
        <v>290</v>
      </c>
      <c r="Y7" s="357" t="s">
        <v>16</v>
      </c>
      <c r="Z7" s="357" t="s">
        <v>22</v>
      </c>
      <c r="AA7" s="357" t="s">
        <v>17</v>
      </c>
      <c r="AB7" s="413"/>
    </row>
    <row r="8" spans="1:31">
      <c r="A8" s="7" t="s">
        <v>624</v>
      </c>
      <c r="B8" s="723"/>
      <c r="C8" s="723"/>
      <c r="D8" s="723"/>
      <c r="E8" s="723"/>
      <c r="F8" s="723"/>
      <c r="G8" s="723"/>
      <c r="H8" s="723"/>
      <c r="I8" s="723"/>
      <c r="J8" s="723"/>
      <c r="K8" s="723"/>
      <c r="L8" s="723"/>
      <c r="M8" s="723"/>
      <c r="N8" s="723"/>
      <c r="O8" s="723"/>
      <c r="P8" s="723"/>
      <c r="Q8" s="723"/>
      <c r="R8" s="723"/>
      <c r="S8" s="723"/>
      <c r="T8" s="723"/>
      <c r="U8" s="723"/>
      <c r="V8" s="7"/>
      <c r="W8" s="7"/>
      <c r="X8" s="7"/>
      <c r="Y8" s="26" t="e">
        <f>(B8-D8)/B8</f>
        <v>#DIV/0!</v>
      </c>
      <c r="Z8" s="26" t="e">
        <f>(B8-F8)/B8</f>
        <v>#DIV/0!</v>
      </c>
      <c r="AA8" s="26" t="e">
        <f>(B8-H8)/B8</f>
        <v>#DIV/0!</v>
      </c>
      <c r="AB8" s="27"/>
      <c r="AC8" s="12"/>
      <c r="AD8" s="12"/>
      <c r="AE8" s="12"/>
    </row>
    <row r="9" spans="1:31">
      <c r="A9" s="7" t="s">
        <v>625</v>
      </c>
      <c r="B9" s="724"/>
      <c r="C9" s="723"/>
      <c r="D9" s="723"/>
      <c r="E9" s="723"/>
      <c r="F9" s="723"/>
      <c r="G9" s="723"/>
      <c r="H9" s="725"/>
      <c r="I9" s="725"/>
      <c r="J9" s="725"/>
      <c r="K9" s="725"/>
      <c r="L9" s="723"/>
      <c r="M9" s="723"/>
      <c r="N9" s="723"/>
      <c r="O9" s="723"/>
      <c r="P9" s="723"/>
      <c r="Q9" s="723"/>
      <c r="R9" s="725"/>
      <c r="S9" s="725"/>
      <c r="T9" s="725"/>
      <c r="U9" s="725"/>
      <c r="V9" s="288"/>
      <c r="W9" s="288"/>
      <c r="X9" s="288"/>
      <c r="Y9" s="26" t="e">
        <f>(C9-E9)/C9</f>
        <v>#DIV/0!</v>
      </c>
      <c r="Z9" s="26" t="e">
        <f>(C9-G9)/C9</f>
        <v>#DIV/0!</v>
      </c>
      <c r="AA9" s="26" t="e">
        <f>(C9-I9)/C9</f>
        <v>#DIV/0!</v>
      </c>
      <c r="AB9" s="27"/>
      <c r="AC9" s="12"/>
      <c r="AD9" s="12"/>
      <c r="AE9" s="12"/>
    </row>
    <row r="10" spans="1:31">
      <c r="A10" s="7" t="s">
        <v>626</v>
      </c>
      <c r="B10" s="724"/>
      <c r="C10" s="724"/>
      <c r="D10" s="723"/>
      <c r="E10" s="723"/>
      <c r="F10" s="723"/>
      <c r="G10" s="723"/>
      <c r="H10" s="723"/>
      <c r="I10" s="723"/>
      <c r="J10" s="723"/>
      <c r="K10" s="723"/>
      <c r="L10" s="723"/>
      <c r="M10" s="723"/>
      <c r="N10" s="723"/>
      <c r="O10" s="723"/>
      <c r="P10" s="723"/>
      <c r="Q10" s="723"/>
      <c r="R10" s="723"/>
      <c r="S10" s="723"/>
      <c r="T10" s="723"/>
      <c r="U10" s="723"/>
      <c r="V10" s="7"/>
      <c r="W10" s="7"/>
      <c r="X10" s="7"/>
      <c r="Y10" s="26" t="e">
        <f>(D10-F10)/D10</f>
        <v>#DIV/0!</v>
      </c>
      <c r="Z10" s="26" t="e">
        <f>(D10-H10)/D10</f>
        <v>#DIV/0!</v>
      </c>
      <c r="AA10" s="26" t="e">
        <f>(D10-J10)/D10</f>
        <v>#DIV/0!</v>
      </c>
      <c r="AB10" s="16"/>
      <c r="AD10" s="12"/>
    </row>
    <row r="11" spans="1:31">
      <c r="A11" s="7" t="s">
        <v>627</v>
      </c>
      <c r="B11" s="724"/>
      <c r="C11" s="724"/>
      <c r="D11" s="724"/>
      <c r="E11" s="723"/>
      <c r="F11" s="723"/>
      <c r="G11" s="723"/>
      <c r="H11" s="723"/>
      <c r="I11" s="723"/>
      <c r="J11" s="723"/>
      <c r="K11" s="723"/>
      <c r="L11" s="723"/>
      <c r="M11" s="723"/>
      <c r="N11" s="723"/>
      <c r="O11" s="723"/>
      <c r="P11" s="723"/>
      <c r="Q11" s="723"/>
      <c r="R11" s="723"/>
      <c r="S11" s="723"/>
      <c r="T11" s="723"/>
      <c r="U11" s="723"/>
      <c r="V11" s="7"/>
      <c r="W11" s="7"/>
      <c r="X11" s="7"/>
      <c r="Y11" s="26" t="e">
        <f>(E11-G11)/E11</f>
        <v>#DIV/0!</v>
      </c>
      <c r="Z11" s="26" t="e">
        <f>(E11-I11)/E11</f>
        <v>#DIV/0!</v>
      </c>
      <c r="AA11" s="26" t="e">
        <f>(E11-K11)/E11</f>
        <v>#DIV/0!</v>
      </c>
      <c r="AB11" s="16"/>
      <c r="AD11" s="12"/>
    </row>
    <row r="12" spans="1:31">
      <c r="A12" s="7" t="s">
        <v>628</v>
      </c>
      <c r="B12" s="724"/>
      <c r="C12" s="724"/>
      <c r="D12" s="724"/>
      <c r="E12" s="724"/>
      <c r="F12" s="723"/>
      <c r="G12" s="723"/>
      <c r="H12" s="723"/>
      <c r="I12" s="723"/>
      <c r="J12" s="723"/>
      <c r="K12" s="723"/>
      <c r="L12" s="723"/>
      <c r="M12" s="723"/>
      <c r="N12" s="723"/>
      <c r="O12" s="723"/>
      <c r="P12" s="723"/>
      <c r="Q12" s="723"/>
      <c r="R12" s="723"/>
      <c r="S12" s="723"/>
      <c r="T12" s="723"/>
      <c r="U12" s="723"/>
      <c r="V12" s="7"/>
      <c r="W12" s="7"/>
      <c r="X12" s="7"/>
      <c r="Y12" s="26" t="e">
        <f>(F12-H12)/F12</f>
        <v>#DIV/0!</v>
      </c>
      <c r="Z12" s="26" t="e">
        <f>(F12-J12)/F12</f>
        <v>#DIV/0!</v>
      </c>
      <c r="AA12" s="26" t="e">
        <f>(F12-L12)/F12</f>
        <v>#DIV/0!</v>
      </c>
      <c r="AB12" s="16"/>
      <c r="AD12" s="12"/>
    </row>
    <row r="13" spans="1:31">
      <c r="A13" s="7" t="s">
        <v>629</v>
      </c>
      <c r="B13" s="724"/>
      <c r="C13" s="724"/>
      <c r="D13" s="724"/>
      <c r="E13" s="724"/>
      <c r="F13" s="724"/>
      <c r="G13" s="723"/>
      <c r="H13" s="723"/>
      <c r="I13" s="723"/>
      <c r="J13" s="723"/>
      <c r="K13" s="723"/>
      <c r="L13" s="723"/>
      <c r="M13" s="723"/>
      <c r="N13" s="723"/>
      <c r="O13" s="723"/>
      <c r="P13" s="723"/>
      <c r="Q13" s="723"/>
      <c r="R13" s="723"/>
      <c r="S13" s="723"/>
      <c r="T13" s="723"/>
      <c r="U13" s="723"/>
      <c r="V13" s="7"/>
      <c r="W13" s="7"/>
      <c r="X13" s="7"/>
      <c r="Y13" s="26" t="e">
        <f>(G13-I13)/G13</f>
        <v>#DIV/0!</v>
      </c>
      <c r="Z13" s="26" t="e">
        <f>(G13-K13)/G13</f>
        <v>#DIV/0!</v>
      </c>
      <c r="AA13" s="26" t="e">
        <f>(G13-M13)/G13</f>
        <v>#DIV/0!</v>
      </c>
      <c r="AB13" s="16"/>
      <c r="AD13" s="12"/>
    </row>
    <row r="14" spans="1:31">
      <c r="A14" s="7" t="s">
        <v>630</v>
      </c>
      <c r="B14" s="724"/>
      <c r="C14" s="724"/>
      <c r="D14" s="724"/>
      <c r="E14" s="724"/>
      <c r="F14" s="724"/>
      <c r="G14" s="724"/>
      <c r="H14" s="723"/>
      <c r="I14" s="723"/>
      <c r="J14" s="723"/>
      <c r="K14" s="723"/>
      <c r="L14" s="723"/>
      <c r="M14" s="723"/>
      <c r="N14" s="723"/>
      <c r="O14" s="723"/>
      <c r="P14" s="723"/>
      <c r="Q14" s="723"/>
      <c r="R14" s="723"/>
      <c r="S14" s="723"/>
      <c r="T14" s="723"/>
      <c r="U14" s="723"/>
      <c r="V14" s="7"/>
      <c r="W14" s="7"/>
      <c r="X14" s="7"/>
      <c r="Y14" s="26" t="e">
        <f>(H14-J14)/H14</f>
        <v>#DIV/0!</v>
      </c>
      <c r="Z14" s="26" t="e">
        <f>(H14-L14)/H14</f>
        <v>#DIV/0!</v>
      </c>
      <c r="AA14" s="26" t="e">
        <f>(H14-N14)/H14</f>
        <v>#DIV/0!</v>
      </c>
      <c r="AB14" s="16"/>
      <c r="AD14" s="12"/>
    </row>
    <row r="15" spans="1:31">
      <c r="A15" s="7" t="s">
        <v>631</v>
      </c>
      <c r="B15" s="724"/>
      <c r="C15" s="724"/>
      <c r="D15" s="724"/>
      <c r="E15" s="724"/>
      <c r="F15" s="724"/>
      <c r="G15" s="724"/>
      <c r="H15" s="16"/>
      <c r="I15" s="725"/>
      <c r="J15" s="725"/>
      <c r="K15" s="725"/>
      <c r="L15" s="723"/>
      <c r="M15" s="723"/>
      <c r="N15" s="723"/>
      <c r="O15" s="723"/>
      <c r="P15" s="723"/>
      <c r="Q15" s="723"/>
      <c r="R15" s="725"/>
      <c r="S15" s="725"/>
      <c r="T15" s="725"/>
      <c r="U15" s="725"/>
      <c r="V15" s="288"/>
      <c r="W15" s="288"/>
      <c r="X15" s="288"/>
      <c r="Y15" s="26" t="e">
        <f>(I15-K15)/I15</f>
        <v>#DIV/0!</v>
      </c>
      <c r="Z15" s="26" t="e">
        <f>(I15-M15)/I15</f>
        <v>#DIV/0!</v>
      </c>
      <c r="AA15" s="26" t="e">
        <f>(I15-O15)/I15</f>
        <v>#DIV/0!</v>
      </c>
      <c r="AB15" s="16"/>
      <c r="AD15" s="12"/>
    </row>
    <row r="16" spans="1:31">
      <c r="A16" s="7" t="s">
        <v>632</v>
      </c>
      <c r="B16" s="724"/>
      <c r="C16" s="724"/>
      <c r="D16" s="724"/>
      <c r="E16" s="724"/>
      <c r="F16" s="724"/>
      <c r="G16" s="724"/>
      <c r="H16" s="16"/>
      <c r="I16" s="16"/>
      <c r="J16" s="725"/>
      <c r="K16" s="725"/>
      <c r="L16" s="723"/>
      <c r="M16" s="723"/>
      <c r="N16" s="723"/>
      <c r="O16" s="723"/>
      <c r="P16" s="723"/>
      <c r="Q16" s="723"/>
      <c r="R16" s="725"/>
      <c r="S16" s="725"/>
      <c r="T16" s="725"/>
      <c r="U16" s="725"/>
      <c r="V16" s="288"/>
      <c r="W16" s="288"/>
      <c r="X16" s="288"/>
      <c r="Y16" s="26" t="e">
        <f>(J16-L16)/J16</f>
        <v>#DIV/0!</v>
      </c>
      <c r="Z16" s="26" t="e">
        <f>(J16-N16)/J16</f>
        <v>#DIV/0!</v>
      </c>
      <c r="AA16" s="26" t="e">
        <f>(J16-P16)/J16</f>
        <v>#DIV/0!</v>
      </c>
      <c r="AB16" s="16"/>
      <c r="AD16" s="12"/>
    </row>
    <row r="17" spans="1:30">
      <c r="A17" s="7" t="s">
        <v>633</v>
      </c>
      <c r="B17" s="724"/>
      <c r="C17" s="724"/>
      <c r="D17" s="724"/>
      <c r="E17" s="724"/>
      <c r="F17" s="724"/>
      <c r="G17" s="724"/>
      <c r="H17" s="16"/>
      <c r="I17" s="16"/>
      <c r="J17" s="16"/>
      <c r="K17" s="725"/>
      <c r="L17" s="723"/>
      <c r="M17" s="723"/>
      <c r="N17" s="723"/>
      <c r="O17" s="723"/>
      <c r="P17" s="723"/>
      <c r="Q17" s="723"/>
      <c r="R17" s="725"/>
      <c r="S17" s="725"/>
      <c r="T17" s="725"/>
      <c r="U17" s="725"/>
      <c r="V17" s="288"/>
      <c r="W17" s="288"/>
      <c r="X17" s="288"/>
      <c r="Y17" s="26" t="e">
        <f>(K17-M17)/K17</f>
        <v>#DIV/0!</v>
      </c>
      <c r="Z17" s="26" t="e">
        <f>(K17-O17)/K17</f>
        <v>#DIV/0!</v>
      </c>
      <c r="AA17" s="26" t="e">
        <f>(K17-Q17)/K17</f>
        <v>#DIV/0!</v>
      </c>
      <c r="AB17" s="16"/>
      <c r="AD17" s="12"/>
    </row>
    <row r="18" spans="1:30">
      <c r="A18" s="7" t="s">
        <v>614</v>
      </c>
      <c r="B18" s="724"/>
      <c r="C18" s="724"/>
      <c r="D18" s="724"/>
      <c r="E18" s="724"/>
      <c r="F18" s="724"/>
      <c r="G18" s="724"/>
      <c r="H18" s="16"/>
      <c r="I18" s="16"/>
      <c r="J18" s="16"/>
      <c r="K18" s="16"/>
      <c r="L18" s="723"/>
      <c r="M18" s="723"/>
      <c r="N18" s="723"/>
      <c r="O18" s="723"/>
      <c r="P18" s="723"/>
      <c r="Q18" s="723"/>
      <c r="R18" s="725"/>
      <c r="S18" s="725"/>
      <c r="T18" s="725"/>
      <c r="U18" s="725"/>
      <c r="V18" s="288"/>
      <c r="W18" s="288"/>
      <c r="X18" s="288"/>
      <c r="Y18" s="26" t="e">
        <f>(L18-N18)/L18</f>
        <v>#DIV/0!</v>
      </c>
      <c r="Z18" s="26" t="e">
        <f>(L18-P18)/L18</f>
        <v>#DIV/0!</v>
      </c>
      <c r="AA18" s="26" t="e">
        <f>(K17-R17)/K17</f>
        <v>#DIV/0!</v>
      </c>
      <c r="AB18" s="16"/>
    </row>
    <row r="19" spans="1:30">
      <c r="A19" s="7" t="s">
        <v>612</v>
      </c>
      <c r="B19" s="724"/>
      <c r="C19" s="724"/>
      <c r="D19" s="724"/>
      <c r="E19" s="724"/>
      <c r="F19" s="724"/>
      <c r="G19" s="724"/>
      <c r="H19" s="16"/>
      <c r="I19" s="16"/>
      <c r="J19" s="16"/>
      <c r="K19" s="16"/>
      <c r="L19" s="724"/>
      <c r="M19" s="723"/>
      <c r="N19" s="723"/>
      <c r="O19" s="723"/>
      <c r="P19" s="723"/>
      <c r="Q19" s="723"/>
      <c r="R19" s="725"/>
      <c r="S19" s="725"/>
      <c r="T19" s="725"/>
      <c r="U19" s="725"/>
      <c r="V19" s="288"/>
      <c r="W19" s="288"/>
      <c r="X19" s="288"/>
      <c r="Y19" s="26" t="e">
        <f>(M19-O19)/M19</f>
        <v>#DIV/0!</v>
      </c>
      <c r="Z19" s="26" t="e">
        <f>(M19-Q19)/M19</f>
        <v>#DIV/0!</v>
      </c>
      <c r="AA19" s="26" t="e">
        <f>(M19-S19)/M19</f>
        <v>#DIV/0!</v>
      </c>
      <c r="AB19" s="16"/>
    </row>
    <row r="20" spans="1:30">
      <c r="A20" s="7" t="s">
        <v>610</v>
      </c>
      <c r="B20" s="724"/>
      <c r="C20" s="724"/>
      <c r="D20" s="724"/>
      <c r="E20" s="724"/>
      <c r="F20" s="724"/>
      <c r="G20" s="724"/>
      <c r="H20" s="16"/>
      <c r="I20" s="16"/>
      <c r="J20" s="16"/>
      <c r="K20" s="16"/>
      <c r="L20" s="724"/>
      <c r="M20" s="724"/>
      <c r="N20" s="723"/>
      <c r="O20" s="723"/>
      <c r="P20" s="723"/>
      <c r="Q20" s="723"/>
      <c r="R20" s="725"/>
      <c r="S20" s="725"/>
      <c r="T20" s="725"/>
      <c r="U20" s="725"/>
      <c r="V20" s="288"/>
      <c r="W20" s="288"/>
      <c r="X20" s="288"/>
      <c r="Y20" s="26" t="e">
        <f>(N20-P20)/N20</f>
        <v>#DIV/0!</v>
      </c>
      <c r="Z20" s="26" t="e">
        <f>(N20-R20)/N20</f>
        <v>#DIV/0!</v>
      </c>
      <c r="AA20" s="26" t="e">
        <f>(N20-T20)/N20</f>
        <v>#DIV/0!</v>
      </c>
      <c r="AB20" s="16"/>
    </row>
    <row r="21" spans="1:30">
      <c r="A21" s="7" t="s">
        <v>608</v>
      </c>
      <c r="B21" s="724"/>
      <c r="C21" s="724"/>
      <c r="D21" s="724"/>
      <c r="E21" s="724"/>
      <c r="F21" s="724"/>
      <c r="G21" s="724"/>
      <c r="H21" s="16"/>
      <c r="I21" s="16"/>
      <c r="J21" s="16"/>
      <c r="K21" s="16"/>
      <c r="L21" s="724"/>
      <c r="M21" s="724"/>
      <c r="N21" s="724"/>
      <c r="O21" s="723"/>
      <c r="P21" s="723"/>
      <c r="Q21" s="723"/>
      <c r="R21" s="725"/>
      <c r="S21" s="725"/>
      <c r="T21" s="725"/>
      <c r="U21" s="725"/>
      <c r="V21" s="726"/>
      <c r="W21" s="726"/>
      <c r="X21" s="33"/>
      <c r="Y21" s="26" t="e">
        <f>(O21-Q21)/O21</f>
        <v>#DIV/0!</v>
      </c>
      <c r="Z21" s="26" t="e">
        <f>(O21-S21)/O21</f>
        <v>#DIV/0!</v>
      </c>
      <c r="AA21" s="26" t="e">
        <f>(O21-U21)/O21</f>
        <v>#DIV/0!</v>
      </c>
      <c r="AB21" s="16"/>
    </row>
    <row r="22" spans="1:30">
      <c r="A22" s="7" t="s">
        <v>606</v>
      </c>
      <c r="B22" s="724"/>
      <c r="C22" s="724"/>
      <c r="D22" s="724"/>
      <c r="E22" s="724"/>
      <c r="F22" s="724"/>
      <c r="G22" s="724"/>
      <c r="H22" s="16"/>
      <c r="I22" s="16"/>
      <c r="J22" s="16"/>
      <c r="K22" s="16"/>
      <c r="L22" s="724"/>
      <c r="M22" s="724"/>
      <c r="N22" s="724"/>
      <c r="O22" s="724"/>
      <c r="P22" s="723"/>
      <c r="Q22" s="723"/>
      <c r="R22" s="725"/>
      <c r="S22" s="725"/>
      <c r="T22" s="725"/>
      <c r="U22" s="725"/>
      <c r="V22" s="727"/>
      <c r="W22" s="727"/>
      <c r="X22" s="727"/>
      <c r="Y22" s="26" t="e">
        <f>(P22-R22)/P22</f>
        <v>#DIV/0!</v>
      </c>
      <c r="Z22" s="26" t="e">
        <f>(P22-T22)/P22</f>
        <v>#DIV/0!</v>
      </c>
      <c r="AA22" s="26"/>
      <c r="AB22" s="16"/>
    </row>
    <row r="23" spans="1:30">
      <c r="A23" s="7" t="s">
        <v>604</v>
      </c>
      <c r="B23" s="724"/>
      <c r="C23" s="724"/>
      <c r="D23" s="724"/>
      <c r="E23" s="724"/>
      <c r="F23" s="724"/>
      <c r="G23" s="724"/>
      <c r="H23" s="16"/>
      <c r="I23" s="16"/>
      <c r="J23" s="16"/>
      <c r="K23" s="16"/>
      <c r="L23" s="724"/>
      <c r="M23" s="724"/>
      <c r="N23" s="724"/>
      <c r="O23" s="724"/>
      <c r="P23" s="724"/>
      <c r="Q23" s="723"/>
      <c r="R23" s="725"/>
      <c r="S23" s="725"/>
      <c r="T23" s="725"/>
      <c r="U23" s="725"/>
      <c r="V23" s="288"/>
      <c r="W23" s="288"/>
      <c r="X23" s="288"/>
      <c r="Y23" s="26" t="e">
        <f>(Q23-S23)/Q23</f>
        <v>#DIV/0!</v>
      </c>
      <c r="Z23" s="26" t="e">
        <f>(Q23-U23)/Q23</f>
        <v>#DIV/0!</v>
      </c>
      <c r="AA23" s="26"/>
      <c r="AB23" s="16"/>
    </row>
    <row r="24" spans="1:30">
      <c r="A24" s="7" t="s">
        <v>602</v>
      </c>
      <c r="B24" s="724"/>
      <c r="C24" s="724"/>
      <c r="D24" s="724"/>
      <c r="E24" s="724"/>
      <c r="F24" s="724"/>
      <c r="G24" s="724"/>
      <c r="H24" s="16"/>
      <c r="I24" s="16"/>
      <c r="J24" s="16"/>
      <c r="K24" s="16"/>
      <c r="L24" s="724"/>
      <c r="M24" s="724"/>
      <c r="N24" s="724"/>
      <c r="O24" s="724"/>
      <c r="P24" s="724"/>
      <c r="Q24" s="724"/>
      <c r="R24" s="725"/>
      <c r="S24" s="725"/>
      <c r="T24" s="725"/>
      <c r="U24" s="725"/>
      <c r="V24" s="288"/>
      <c r="W24" s="288"/>
      <c r="X24" s="288"/>
      <c r="Y24" s="26" t="e">
        <f>(R24-T24)/R24</f>
        <v>#DIV/0!</v>
      </c>
      <c r="Z24" s="26"/>
      <c r="AA24" s="26"/>
      <c r="AB24" s="16"/>
    </row>
    <row r="25" spans="1:30">
      <c r="A25" s="7" t="s">
        <v>600</v>
      </c>
      <c r="B25" s="724"/>
      <c r="C25" s="724"/>
      <c r="D25" s="724"/>
      <c r="E25" s="724"/>
      <c r="F25" s="724"/>
      <c r="G25" s="724"/>
      <c r="H25" s="16"/>
      <c r="I25" s="16"/>
      <c r="J25" s="16"/>
      <c r="K25" s="16"/>
      <c r="L25" s="724"/>
      <c r="M25" s="724"/>
      <c r="N25" s="724"/>
      <c r="O25" s="724"/>
      <c r="P25" s="724"/>
      <c r="Q25" s="724"/>
      <c r="R25" s="16"/>
      <c r="S25" s="725"/>
      <c r="T25" s="725"/>
      <c r="U25" s="725"/>
      <c r="V25" s="288"/>
      <c r="W25" s="288"/>
      <c r="X25" s="288"/>
      <c r="Y25" s="26" t="e">
        <f>(S25-U25)/S25</f>
        <v>#DIV/0!</v>
      </c>
      <c r="Z25" s="26"/>
      <c r="AA25" s="26"/>
      <c r="AB25" s="16"/>
    </row>
    <row r="26" spans="1:30">
      <c r="A26" s="7" t="s">
        <v>598</v>
      </c>
      <c r="B26" s="724"/>
      <c r="C26" s="724"/>
      <c r="D26" s="724"/>
      <c r="E26" s="724"/>
      <c r="F26" s="724"/>
      <c r="G26" s="724"/>
      <c r="H26" s="16"/>
      <c r="I26" s="16"/>
      <c r="J26" s="16"/>
      <c r="K26" s="16"/>
      <c r="L26" s="724"/>
      <c r="M26" s="724"/>
      <c r="N26" s="724"/>
      <c r="O26" s="724"/>
      <c r="P26" s="724"/>
      <c r="Q26" s="724"/>
      <c r="R26" s="16"/>
      <c r="S26" s="16"/>
      <c r="T26" s="725"/>
      <c r="U26" s="725"/>
      <c r="V26" s="726"/>
      <c r="W26" s="726"/>
      <c r="X26" s="726"/>
      <c r="Y26" s="26"/>
      <c r="Z26" s="26"/>
      <c r="AA26" s="26"/>
      <c r="AB26" s="726"/>
    </row>
    <row r="27" spans="1:30" ht="15" customHeight="1">
      <c r="A27" s="7" t="str">
        <f>'1. Identificación carrera'!B39</f>
        <v>2026-II</v>
      </c>
      <c r="B27" s="724"/>
      <c r="C27" s="724"/>
      <c r="D27" s="724"/>
      <c r="E27" s="724"/>
      <c r="F27" s="724"/>
      <c r="G27" s="724"/>
      <c r="H27" s="16"/>
      <c r="I27" s="16"/>
      <c r="J27" s="16"/>
      <c r="K27" s="16"/>
      <c r="L27" s="724"/>
      <c r="M27" s="724"/>
      <c r="N27" s="724"/>
      <c r="O27" s="724"/>
      <c r="P27" s="724"/>
      <c r="Q27" s="724"/>
      <c r="R27" s="16"/>
      <c r="S27" s="16"/>
      <c r="T27" s="16"/>
      <c r="U27" s="725"/>
      <c r="V27" s="727"/>
      <c r="W27" s="727"/>
      <c r="X27" s="727"/>
      <c r="Y27" s="26"/>
      <c r="Z27" s="26"/>
      <c r="AA27" s="26"/>
      <c r="AB27" s="727"/>
    </row>
    <row r="28" spans="1:30">
      <c r="A28" s="8"/>
      <c r="B28" s="13"/>
      <c r="C28" s="13"/>
      <c r="D28" s="13"/>
      <c r="E28" s="13"/>
      <c r="F28" s="13"/>
      <c r="G28" s="13"/>
      <c r="L28" s="13"/>
      <c r="M28" s="13"/>
      <c r="N28" s="13"/>
      <c r="O28" s="13"/>
      <c r="P28" s="13"/>
      <c r="Q28" s="13"/>
      <c r="V28" s="13"/>
      <c r="W28" s="13"/>
      <c r="X28" s="13"/>
    </row>
    <row r="29" spans="1:30">
      <c r="A29" s="8"/>
      <c r="B29" s="13"/>
      <c r="C29" s="13"/>
      <c r="D29" s="13"/>
      <c r="E29" s="13"/>
      <c r="F29" s="13"/>
      <c r="G29" s="13"/>
      <c r="L29" s="13"/>
      <c r="M29" s="13"/>
      <c r="N29" s="13"/>
      <c r="O29" s="13"/>
      <c r="P29" s="13"/>
      <c r="Q29" s="13"/>
      <c r="V29" s="13"/>
      <c r="W29" s="13"/>
      <c r="X29" s="13"/>
    </row>
    <row r="30" spans="1:30" ht="15" thickBot="1">
      <c r="A30" s="8"/>
      <c r="B30" s="13"/>
      <c r="C30" s="13"/>
      <c r="D30" s="13"/>
      <c r="E30" s="13"/>
      <c r="F30" s="13"/>
      <c r="G30" s="13"/>
      <c r="L30" s="13"/>
      <c r="M30" s="13"/>
      <c r="N30" s="13"/>
      <c r="O30" s="13"/>
      <c r="P30" s="13"/>
      <c r="Q30" s="13"/>
      <c r="V30" s="13"/>
      <c r="W30" s="13"/>
      <c r="X30" s="13"/>
    </row>
    <row r="31" spans="1:30" ht="111.75" customHeight="1" thickBot="1">
      <c r="A31" s="411" t="s">
        <v>634</v>
      </c>
      <c r="B31" s="412"/>
      <c r="C31" s="412"/>
      <c r="D31" s="412"/>
      <c r="E31" s="412"/>
      <c r="F31" s="412"/>
      <c r="G31" s="412"/>
      <c r="H31" s="412"/>
      <c r="I31" s="412"/>
      <c r="J31" s="412"/>
      <c r="K31" s="412"/>
      <c r="L31" s="347"/>
      <c r="M31" s="347"/>
      <c r="N31" s="347"/>
      <c r="O31" s="347"/>
      <c r="P31" s="347"/>
      <c r="Q31" s="347"/>
      <c r="R31" s="347"/>
      <c r="S31" s="347"/>
      <c r="T31" s="347"/>
      <c r="U31" s="347"/>
      <c r="V31" s="13"/>
      <c r="W31" s="13"/>
      <c r="X31" s="13"/>
    </row>
    <row r="32" spans="1:30" ht="29.15" customHeight="1" thickBot="1">
      <c r="A32" s="409" t="s">
        <v>21</v>
      </c>
      <c r="B32" s="410"/>
      <c r="C32" s="410"/>
      <c r="D32" s="410"/>
      <c r="E32" s="410"/>
      <c r="F32" s="410"/>
      <c r="G32" s="410"/>
      <c r="H32" s="410"/>
      <c r="I32" s="410"/>
      <c r="J32" s="410"/>
      <c r="K32" s="410"/>
      <c r="L32" s="15"/>
      <c r="M32" s="15"/>
      <c r="N32" s="15"/>
      <c r="O32" s="15"/>
      <c r="P32" s="15"/>
      <c r="Q32" s="15"/>
      <c r="R32" s="15"/>
      <c r="S32" s="15"/>
      <c r="T32" s="15"/>
      <c r="U32" s="15"/>
    </row>
    <row r="33" spans="1:17">
      <c r="A33" s="8"/>
      <c r="B33" s="13"/>
      <c r="C33" s="13"/>
      <c r="D33" s="13"/>
      <c r="E33" s="13"/>
      <c r="F33" s="13"/>
      <c r="G33" s="13"/>
      <c r="L33" s="13"/>
      <c r="M33" s="13"/>
      <c r="N33" s="13"/>
      <c r="O33" s="13"/>
      <c r="P33" s="13"/>
      <c r="Q33" s="13"/>
    </row>
    <row r="34" spans="1:17">
      <c r="A34" s="8"/>
      <c r="B34" s="13"/>
      <c r="C34" s="13"/>
      <c r="D34" s="13"/>
      <c r="E34" s="13"/>
      <c r="F34" s="13"/>
      <c r="G34" s="13"/>
      <c r="L34" s="13"/>
      <c r="M34" s="13"/>
      <c r="N34" s="13"/>
      <c r="O34" s="13"/>
      <c r="P34" s="13"/>
      <c r="Q34" s="13"/>
    </row>
    <row r="35" spans="1:17">
      <c r="A35" s="8"/>
      <c r="B35" s="13"/>
      <c r="C35" s="13"/>
      <c r="D35" s="13"/>
      <c r="E35" s="13"/>
      <c r="F35" s="13"/>
      <c r="G35" s="13"/>
      <c r="L35" s="13"/>
      <c r="M35" s="13"/>
      <c r="N35" s="13"/>
      <c r="O35" s="13"/>
      <c r="P35" s="13"/>
      <c r="Q35" s="13"/>
    </row>
    <row r="36" spans="1:17">
      <c r="A36" s="8"/>
      <c r="B36" s="13"/>
      <c r="C36" s="13"/>
      <c r="D36" s="13"/>
      <c r="E36" s="13"/>
      <c r="F36" s="13"/>
      <c r="G36" s="13"/>
      <c r="L36" s="13"/>
      <c r="M36" s="13"/>
      <c r="N36" s="13"/>
      <c r="O36" s="13"/>
      <c r="P36" s="13"/>
      <c r="Q36" s="13"/>
    </row>
  </sheetData>
  <sheetProtection selectLockedCells="1" selectUnlockedCells="1"/>
  <protectedRanges>
    <protectedRange sqref="D10:K10 E11:K11 F12:K12 G13:K13 H14:K14 I15:K15 J16:K16 K17 C9:K9 M9:U9 N10:U10 O11:U11 P12:U12 Q13:U13 R14:U14 S15:U15 T16:U16 B8:U8" name="Rango1"/>
    <protectedRange sqref="V8:X17" name="Rango1_1_1"/>
  </protectedRanges>
  <mergeCells count="10">
    <mergeCell ref="AB5:AB7"/>
    <mergeCell ref="V6:X6"/>
    <mergeCell ref="A31:K31"/>
    <mergeCell ref="A32:K32"/>
    <mergeCell ref="A3:I3"/>
    <mergeCell ref="A4:T4"/>
    <mergeCell ref="A5:A7"/>
    <mergeCell ref="B5:U6"/>
    <mergeCell ref="V5:X5"/>
    <mergeCell ref="Y5:AA6"/>
  </mergeCells>
  <pageMargins left="0.7" right="0.7" top="0.75" bottom="0.75" header="0.3" footer="0.3"/>
  <pageSetup orientation="portrait" verticalDpi="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5F929-916B-4632-BA0C-D21C14414593}">
  <dimension ref="A1:T25"/>
  <sheetViews>
    <sheetView zoomScale="90" zoomScaleNormal="90" workbookViewId="0">
      <selection activeCell="T39" sqref="T39"/>
    </sheetView>
  </sheetViews>
  <sheetFormatPr baseColWidth="10" defaultRowHeight="14.5"/>
  <cols>
    <col min="1" max="1" width="19.7265625" customWidth="1"/>
    <col min="2" max="11" width="7.453125" customWidth="1"/>
    <col min="12" max="12" width="29.453125" customWidth="1"/>
    <col min="13" max="13" width="13.1796875" customWidth="1"/>
    <col min="14" max="14" width="12.81640625" customWidth="1"/>
  </cols>
  <sheetData>
    <row r="1" spans="1:15" ht="15.5">
      <c r="A1" s="604" t="s">
        <v>635</v>
      </c>
      <c r="B1" s="604"/>
      <c r="C1" s="604"/>
      <c r="D1" s="604"/>
      <c r="E1" s="604"/>
      <c r="F1" s="604"/>
      <c r="G1" s="604"/>
      <c r="H1" s="604"/>
      <c r="I1" s="604"/>
      <c r="J1" s="604"/>
      <c r="K1" s="604"/>
      <c r="L1" s="28"/>
      <c r="M1" s="28"/>
      <c r="N1" s="28"/>
      <c r="O1" s="28"/>
    </row>
    <row r="2" spans="1:15" ht="15.5">
      <c r="A2" s="354"/>
      <c r="B2" s="354"/>
      <c r="C2" s="354"/>
      <c r="D2" s="354"/>
      <c r="E2" s="354"/>
      <c r="F2" s="354"/>
      <c r="G2" s="354"/>
      <c r="H2" s="354"/>
      <c r="I2" s="354"/>
      <c r="J2" s="354"/>
      <c r="K2" s="354"/>
      <c r="L2" s="28"/>
      <c r="M2" s="28"/>
      <c r="N2" s="28"/>
      <c r="O2" s="28"/>
    </row>
    <row r="3" spans="1:15" ht="51" customHeight="1">
      <c r="A3" s="419" t="s">
        <v>303</v>
      </c>
      <c r="B3" s="419"/>
      <c r="C3" s="419"/>
      <c r="D3" s="419"/>
      <c r="E3" s="419"/>
      <c r="F3" s="419"/>
      <c r="G3" s="419"/>
      <c r="H3" s="419"/>
      <c r="I3" s="419"/>
      <c r="J3" s="419"/>
      <c r="K3" s="419"/>
      <c r="L3" s="28"/>
      <c r="M3" s="28"/>
      <c r="N3" s="28"/>
      <c r="O3" s="28"/>
    </row>
    <row r="4" spans="1:15" ht="20.5" customHeight="1">
      <c r="A4" s="604"/>
      <c r="B4" s="604"/>
      <c r="C4" s="604"/>
      <c r="D4" s="604"/>
      <c r="E4" s="604"/>
      <c r="F4" s="604"/>
      <c r="G4" s="604"/>
      <c r="H4" s="604"/>
      <c r="I4" s="604"/>
      <c r="J4" s="604"/>
      <c r="K4" s="604"/>
      <c r="L4" s="28"/>
      <c r="M4" s="28"/>
      <c r="N4" s="28"/>
      <c r="O4" s="28"/>
    </row>
    <row r="5" spans="1:15" ht="20.149999999999999" customHeight="1">
      <c r="A5" s="427" t="s">
        <v>622</v>
      </c>
      <c r="B5" s="432" t="s">
        <v>636</v>
      </c>
      <c r="C5" s="432"/>
      <c r="D5" s="432"/>
      <c r="E5" s="432"/>
      <c r="F5" s="432"/>
      <c r="G5" s="432"/>
      <c r="H5" s="432"/>
      <c r="I5" s="432"/>
      <c r="J5" s="432"/>
      <c r="K5" s="432"/>
      <c r="L5" s="728" t="s">
        <v>25</v>
      </c>
      <c r="M5" s="424" t="s">
        <v>121</v>
      </c>
      <c r="N5" s="28"/>
      <c r="O5" s="28"/>
    </row>
    <row r="6" spans="1:15" ht="57.75" customHeight="1">
      <c r="A6" s="427"/>
      <c r="B6" s="345" t="s">
        <v>614</v>
      </c>
      <c r="C6" s="345" t="s">
        <v>612</v>
      </c>
      <c r="D6" s="345" t="s">
        <v>610</v>
      </c>
      <c r="E6" s="345" t="s">
        <v>608</v>
      </c>
      <c r="F6" s="345" t="s">
        <v>606</v>
      </c>
      <c r="G6" s="345" t="s">
        <v>604</v>
      </c>
      <c r="H6" s="345" t="s">
        <v>602</v>
      </c>
      <c r="I6" s="345" t="s">
        <v>600</v>
      </c>
      <c r="J6" s="345" t="s">
        <v>598</v>
      </c>
      <c r="K6" s="345" t="s">
        <v>596</v>
      </c>
      <c r="L6" s="729" t="s">
        <v>307</v>
      </c>
      <c r="M6" s="425"/>
      <c r="N6" s="28"/>
      <c r="O6" s="28"/>
    </row>
    <row r="7" spans="1:15">
      <c r="A7" s="7" t="s">
        <v>624</v>
      </c>
      <c r="B7" s="10"/>
      <c r="C7" s="10"/>
      <c r="D7" s="10"/>
      <c r="E7" s="10"/>
      <c r="F7" s="10"/>
      <c r="G7" s="10"/>
      <c r="H7" s="10"/>
      <c r="I7" s="10"/>
      <c r="J7" s="10"/>
      <c r="K7" s="10"/>
      <c r="L7" s="26" t="e">
        <f>SUM(B7:K7)/'[1]4.b.Cohortes semestre-ciclo'!B8</f>
        <v>#DIV/0!</v>
      </c>
      <c r="M7" s="16"/>
      <c r="N7" s="131"/>
      <c r="O7" s="28"/>
    </row>
    <row r="8" spans="1:15">
      <c r="A8" s="7" t="s">
        <v>625</v>
      </c>
      <c r="B8" s="7"/>
      <c r="C8" s="10"/>
      <c r="D8" s="10"/>
      <c r="E8" s="10"/>
      <c r="F8" s="10"/>
      <c r="G8" s="10"/>
      <c r="H8" s="10"/>
      <c r="I8" s="10"/>
      <c r="J8" s="10"/>
      <c r="K8" s="10"/>
      <c r="L8" s="26" t="e">
        <f>SUM(B8:K8)/'[1]4.b.Cohortes semestre-ciclo'!C9</f>
        <v>#DIV/0!</v>
      </c>
      <c r="M8" s="16"/>
      <c r="N8" s="131"/>
      <c r="O8" s="28"/>
    </row>
    <row r="9" spans="1:15">
      <c r="A9" s="7" t="s">
        <v>626</v>
      </c>
      <c r="B9" s="7"/>
      <c r="C9" s="288"/>
      <c r="D9" s="11"/>
      <c r="E9" s="11"/>
      <c r="F9" s="11"/>
      <c r="G9" s="11"/>
      <c r="H9" s="11"/>
      <c r="I9" s="11"/>
      <c r="J9" s="11"/>
      <c r="K9" s="11"/>
      <c r="L9" s="26" t="e">
        <f>SUM(B9:K9)/'[1]4.b.Cohortes semestre-ciclo'!D10</f>
        <v>#DIV/0!</v>
      </c>
      <c r="M9" s="16"/>
      <c r="N9" s="131"/>
      <c r="O9" s="28"/>
    </row>
    <row r="10" spans="1:15">
      <c r="A10" s="7" t="s">
        <v>627</v>
      </c>
      <c r="B10" s="7"/>
      <c r="C10" s="288"/>
      <c r="D10" s="288"/>
      <c r="E10" s="11"/>
      <c r="F10" s="11"/>
      <c r="G10" s="11"/>
      <c r="H10" s="11"/>
      <c r="I10" s="11"/>
      <c r="J10" s="11"/>
      <c r="K10" s="11"/>
      <c r="L10" s="26" t="e">
        <f>SUM(B10:K10)/'[1]4.b.Cohortes semestre-ciclo'!E11</f>
        <v>#DIV/0!</v>
      </c>
      <c r="M10" s="16"/>
      <c r="N10" s="131"/>
      <c r="O10" s="28"/>
    </row>
    <row r="11" spans="1:15">
      <c r="A11" s="7" t="s">
        <v>628</v>
      </c>
      <c r="B11" s="7"/>
      <c r="C11" s="288"/>
      <c r="D11" s="288"/>
      <c r="E11" s="288"/>
      <c r="F11" s="11"/>
      <c r="G11" s="11"/>
      <c r="H11" s="11"/>
      <c r="I11" s="11"/>
      <c r="J11" s="11"/>
      <c r="K11" s="11"/>
      <c r="L11" s="26" t="e">
        <f>SUM(B11:K11)/'[1]4.b.Cohortes semestre-ciclo'!F12</f>
        <v>#DIV/0!</v>
      </c>
      <c r="M11" s="16"/>
      <c r="N11" s="131"/>
      <c r="O11" s="28"/>
    </row>
    <row r="12" spans="1:15">
      <c r="A12" s="7" t="s">
        <v>629</v>
      </c>
      <c r="B12" s="7"/>
      <c r="C12" s="288"/>
      <c r="D12" s="288"/>
      <c r="E12" s="288"/>
      <c r="F12" s="288"/>
      <c r="G12" s="11"/>
      <c r="H12" s="11"/>
      <c r="I12" s="11"/>
      <c r="J12" s="11"/>
      <c r="K12" s="11"/>
      <c r="L12" s="26" t="e">
        <f>SUM(B12:K12)/'[1]4.b.Cohortes semestre-ciclo'!G13</f>
        <v>#DIV/0!</v>
      </c>
      <c r="M12" s="16"/>
      <c r="N12" s="28"/>
      <c r="O12" s="28"/>
    </row>
    <row r="13" spans="1:15">
      <c r="A13" s="7" t="s">
        <v>630</v>
      </c>
      <c r="B13" s="7"/>
      <c r="C13" s="288"/>
      <c r="D13" s="288"/>
      <c r="E13" s="288"/>
      <c r="F13" s="288"/>
      <c r="G13" s="288"/>
      <c r="H13" s="11"/>
      <c r="I13" s="11"/>
      <c r="J13" s="11"/>
      <c r="K13" s="11"/>
      <c r="L13" s="26" t="e">
        <f>SUM(B13:K13)/'[1]4.b.Cohortes semestre-ciclo'!H14</f>
        <v>#DIV/0!</v>
      </c>
      <c r="M13" s="16"/>
      <c r="N13" s="28"/>
      <c r="O13" s="28"/>
    </row>
    <row r="14" spans="1:15">
      <c r="A14" s="7" t="s">
        <v>631</v>
      </c>
      <c r="B14" s="7"/>
      <c r="C14" s="288"/>
      <c r="D14" s="288"/>
      <c r="E14" s="288"/>
      <c r="F14" s="288"/>
      <c r="G14" s="288"/>
      <c r="H14" s="288"/>
      <c r="I14" s="11"/>
      <c r="J14" s="11"/>
      <c r="K14" s="11"/>
      <c r="L14" s="26" t="e">
        <f>SUM(B14:K14)/'[1]4.b.Cohortes semestre-ciclo'!I15</f>
        <v>#DIV/0!</v>
      </c>
      <c r="M14" s="16"/>
      <c r="N14" s="28"/>
      <c r="O14" s="28"/>
    </row>
    <row r="15" spans="1:15">
      <c r="A15" s="7" t="s">
        <v>632</v>
      </c>
      <c r="B15" s="7"/>
      <c r="C15" s="288"/>
      <c r="D15" s="288"/>
      <c r="E15" s="288"/>
      <c r="F15" s="288"/>
      <c r="G15" s="288"/>
      <c r="H15" s="288"/>
      <c r="I15" s="288"/>
      <c r="J15" s="11"/>
      <c r="K15" s="11"/>
      <c r="L15" s="26" t="e">
        <f>SUM(B15:K15)/'[1]4.b.Cohortes semestre-ciclo'!J16</f>
        <v>#DIV/0!</v>
      </c>
      <c r="M15" s="16"/>
      <c r="N15" s="28"/>
      <c r="O15" s="28"/>
    </row>
    <row r="16" spans="1:15">
      <c r="A16" s="7" t="s">
        <v>633</v>
      </c>
      <c r="B16" s="7"/>
      <c r="C16" s="288"/>
      <c r="D16" s="288"/>
      <c r="E16" s="288"/>
      <c r="F16" s="288"/>
      <c r="G16" s="288"/>
      <c r="H16" s="288"/>
      <c r="I16" s="288"/>
      <c r="J16" s="288"/>
      <c r="K16" s="11"/>
      <c r="L16" s="26" t="e">
        <f>SUM(B16:K16)/'[1]4.b.Cohortes semestre-ciclo'!K17</f>
        <v>#DIV/0!</v>
      </c>
      <c r="M16" s="16"/>
      <c r="N16" s="28"/>
      <c r="O16" s="28"/>
    </row>
    <row r="17" spans="1:20">
      <c r="A17" s="133"/>
      <c r="B17" s="133"/>
      <c r="C17" s="124"/>
      <c r="D17" s="124"/>
      <c r="E17" s="124"/>
      <c r="F17" s="124"/>
      <c r="G17" s="124"/>
      <c r="H17" s="124"/>
      <c r="I17" s="124"/>
      <c r="J17" s="124"/>
      <c r="K17" s="124"/>
      <c r="L17" s="28"/>
      <c r="M17" s="28"/>
      <c r="N17" s="28"/>
      <c r="O17" s="28"/>
    </row>
    <row r="18" spans="1:20" ht="15" thickBot="1">
      <c r="A18" s="133"/>
      <c r="B18" s="133"/>
      <c r="C18" s="124"/>
      <c r="D18" s="124"/>
      <c r="E18" s="124"/>
      <c r="F18" s="124"/>
      <c r="G18" s="124"/>
      <c r="H18" s="124"/>
      <c r="I18" s="124"/>
      <c r="J18" s="124"/>
      <c r="K18" s="124"/>
      <c r="L18" s="28"/>
      <c r="M18" s="28"/>
      <c r="N18" s="28"/>
      <c r="O18" s="28"/>
    </row>
    <row r="19" spans="1:20" ht="58.5" customHeight="1" thickBot="1">
      <c r="A19" s="428" t="s">
        <v>24</v>
      </c>
      <c r="B19" s="429"/>
      <c r="C19" s="429"/>
      <c r="D19" s="429"/>
      <c r="E19" s="429"/>
      <c r="F19" s="429"/>
      <c r="G19" s="429"/>
      <c r="H19" s="429"/>
      <c r="I19" s="429"/>
      <c r="J19" s="429"/>
      <c r="K19" s="429"/>
      <c r="L19" s="429"/>
      <c r="M19" s="28"/>
      <c r="N19" s="132"/>
      <c r="O19" s="132"/>
      <c r="P19" s="30"/>
      <c r="Q19" s="30"/>
    </row>
    <row r="20" spans="1:20" ht="29.15" customHeight="1" thickBot="1">
      <c r="A20" s="420" t="s">
        <v>21</v>
      </c>
      <c r="B20" s="421"/>
      <c r="C20" s="421"/>
      <c r="D20" s="421"/>
      <c r="E20" s="421"/>
      <c r="F20" s="421"/>
      <c r="G20" s="421"/>
      <c r="H20" s="421"/>
      <c r="I20" s="421"/>
      <c r="J20" s="421"/>
      <c r="K20" s="421"/>
      <c r="L20" s="421"/>
      <c r="M20" s="122"/>
      <c r="N20" s="122"/>
      <c r="O20" s="122"/>
      <c r="P20" s="13"/>
      <c r="Q20" s="13"/>
      <c r="R20" s="13"/>
      <c r="S20" s="13"/>
      <c r="T20" s="13"/>
    </row>
    <row r="21" spans="1:20">
      <c r="A21" s="133"/>
      <c r="B21" s="133"/>
      <c r="C21" s="124"/>
      <c r="D21" s="124"/>
      <c r="E21" s="124"/>
      <c r="F21" s="124"/>
      <c r="G21" s="124"/>
      <c r="H21" s="124"/>
      <c r="I21" s="124"/>
      <c r="J21" s="124"/>
      <c r="K21" s="124"/>
      <c r="L21" s="28"/>
      <c r="M21" s="28"/>
      <c r="N21" s="28"/>
      <c r="O21" s="28"/>
    </row>
    <row r="22" spans="1:20">
      <c r="A22" s="133"/>
      <c r="B22" s="133"/>
      <c r="C22" s="124"/>
      <c r="D22" s="124"/>
      <c r="E22" s="124"/>
      <c r="F22" s="124"/>
      <c r="G22" s="124"/>
      <c r="H22" s="124"/>
      <c r="I22" s="124"/>
      <c r="J22" s="124"/>
      <c r="K22" s="124"/>
      <c r="L22" s="28"/>
      <c r="M22" s="28"/>
      <c r="N22" s="28"/>
      <c r="O22" s="28"/>
    </row>
    <row r="23" spans="1:20">
      <c r="A23" s="133"/>
      <c r="B23" s="133"/>
      <c r="C23" s="124"/>
      <c r="D23" s="124"/>
      <c r="E23" s="124"/>
      <c r="F23" s="124"/>
      <c r="G23" s="124"/>
      <c r="H23" s="124"/>
      <c r="I23" s="124"/>
      <c r="J23" s="124"/>
      <c r="K23" s="124"/>
      <c r="L23" s="28"/>
      <c r="M23" s="28"/>
      <c r="N23" s="28"/>
      <c r="O23" s="28"/>
    </row>
    <row r="24" spans="1:20">
      <c r="A24" s="133"/>
      <c r="B24" s="133"/>
      <c r="C24" s="124"/>
      <c r="D24" s="124"/>
      <c r="E24" s="124"/>
      <c r="F24" s="124"/>
      <c r="G24" s="124"/>
      <c r="H24" s="124"/>
      <c r="I24" s="124"/>
      <c r="J24" s="124"/>
      <c r="K24" s="124"/>
      <c r="L24" s="28"/>
      <c r="M24" s="28"/>
      <c r="N24" s="28"/>
      <c r="O24" s="28"/>
    </row>
    <row r="25" spans="1:20">
      <c r="A25" s="28"/>
      <c r="B25" s="28"/>
      <c r="C25" s="28"/>
      <c r="D25" s="28"/>
      <c r="E25" s="28"/>
      <c r="F25" s="28"/>
      <c r="G25" s="28"/>
      <c r="H25" s="28"/>
      <c r="I25" s="28"/>
      <c r="J25" s="28"/>
      <c r="K25" s="28"/>
      <c r="L25" s="28"/>
      <c r="M25" s="28"/>
    </row>
  </sheetData>
  <sheetProtection selectLockedCells="1" selectUnlockedCells="1"/>
  <protectedRanges>
    <protectedRange sqref="D9:K9 E10:K10 K11 B7:K7 C8:K8" name="Rango1"/>
  </protectedRanges>
  <mergeCells count="8">
    <mergeCell ref="A19:L19"/>
    <mergeCell ref="A20:L20"/>
    <mergeCell ref="A1:K1"/>
    <mergeCell ref="A3:K3"/>
    <mergeCell ref="A4:K4"/>
    <mergeCell ref="A5:A6"/>
    <mergeCell ref="B5:K5"/>
    <mergeCell ref="M5:M6"/>
  </mergeCells>
  <pageMargins left="0.7" right="0.7" top="0.75" bottom="0.75" header="0.3" footer="0.3"/>
  <pageSetup orientation="portrait" verticalDpi="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88692-CC31-4FBC-80BB-4E5CF9393214}">
  <dimension ref="A1:T26"/>
  <sheetViews>
    <sheetView zoomScale="90" zoomScaleNormal="90" workbookViewId="0">
      <selection activeCell="L20" sqref="L20"/>
    </sheetView>
  </sheetViews>
  <sheetFormatPr baseColWidth="10" defaultRowHeight="14.5"/>
  <cols>
    <col min="1" max="1" width="19.7265625" customWidth="1"/>
    <col min="2" max="11" width="7.453125" customWidth="1"/>
    <col min="12" max="12" width="27.7265625" customWidth="1"/>
    <col min="13" max="13" width="29.7265625" customWidth="1"/>
    <col min="14" max="14" width="14.7265625" customWidth="1"/>
    <col min="15" max="15" width="13.1796875" customWidth="1"/>
  </cols>
  <sheetData>
    <row r="1" spans="1:18" ht="15.5">
      <c r="A1" s="422" t="s">
        <v>637</v>
      </c>
      <c r="B1" s="422"/>
      <c r="C1" s="422"/>
      <c r="D1" s="422"/>
      <c r="E1" s="422"/>
      <c r="F1" s="422"/>
      <c r="G1" s="422"/>
      <c r="H1" s="422"/>
      <c r="I1" s="422"/>
      <c r="J1" s="422"/>
      <c r="K1" s="422"/>
      <c r="L1" s="28"/>
      <c r="M1" s="28"/>
      <c r="N1" s="28"/>
      <c r="O1" s="28"/>
      <c r="P1" s="28"/>
      <c r="Q1" s="28"/>
      <c r="R1" s="28"/>
    </row>
    <row r="2" spans="1:18">
      <c r="A2" s="28"/>
      <c r="B2" s="28"/>
      <c r="C2" s="28"/>
      <c r="D2" s="28"/>
      <c r="E2" s="28"/>
      <c r="F2" s="28"/>
      <c r="G2" s="28"/>
      <c r="H2" s="28"/>
      <c r="I2" s="28"/>
      <c r="J2" s="28"/>
      <c r="K2" s="28"/>
      <c r="L2" s="28"/>
      <c r="M2" s="28"/>
      <c r="N2" s="28"/>
      <c r="O2" s="28"/>
      <c r="P2" s="28"/>
      <c r="Q2" s="28"/>
      <c r="R2" s="28"/>
    </row>
    <row r="3" spans="1:18" ht="48.65" customHeight="1">
      <c r="A3" s="440" t="s">
        <v>638</v>
      </c>
      <c r="B3" s="440"/>
      <c r="C3" s="440"/>
      <c r="D3" s="440"/>
      <c r="E3" s="440"/>
      <c r="F3" s="440"/>
      <c r="G3" s="440"/>
      <c r="H3" s="440"/>
      <c r="I3" s="440"/>
      <c r="J3" s="440"/>
      <c r="K3" s="440"/>
      <c r="L3" s="28"/>
      <c r="M3" s="28"/>
      <c r="N3" s="28"/>
      <c r="O3" s="28"/>
      <c r="P3" s="28"/>
      <c r="Q3" s="28"/>
      <c r="R3" s="28"/>
    </row>
    <row r="4" spans="1:18" ht="46.5" customHeight="1">
      <c r="A4" s="361" t="s">
        <v>484</v>
      </c>
      <c r="B4" s="361"/>
      <c r="C4" s="361"/>
      <c r="D4" s="361"/>
      <c r="E4" s="361"/>
      <c r="F4" s="361"/>
      <c r="G4" s="361"/>
      <c r="H4" s="361"/>
      <c r="I4" s="361"/>
      <c r="J4" s="361"/>
      <c r="K4" s="361"/>
      <c r="L4" s="28"/>
      <c r="M4" s="28"/>
      <c r="N4" s="28"/>
      <c r="O4" s="28"/>
      <c r="P4" s="28"/>
      <c r="Q4" s="28"/>
      <c r="R4" s="28"/>
    </row>
    <row r="5" spans="1:18" ht="20.5" customHeight="1">
      <c r="A5" s="730"/>
      <c r="B5" s="730"/>
      <c r="C5" s="730"/>
      <c r="D5" s="730"/>
      <c r="E5" s="730"/>
      <c r="F5" s="730"/>
      <c r="G5" s="730"/>
      <c r="H5" s="730"/>
      <c r="I5" s="730"/>
      <c r="J5" s="730"/>
      <c r="K5" s="730"/>
      <c r="L5" s="28"/>
      <c r="M5" s="28"/>
      <c r="N5" s="28"/>
      <c r="O5" s="28"/>
      <c r="P5" s="28"/>
      <c r="Q5" s="28"/>
      <c r="R5" s="28"/>
    </row>
    <row r="6" spans="1:18" ht="20.149999999999999" customHeight="1">
      <c r="A6" s="427" t="s">
        <v>622</v>
      </c>
      <c r="B6" s="432" t="s">
        <v>639</v>
      </c>
      <c r="C6" s="432"/>
      <c r="D6" s="432"/>
      <c r="E6" s="432"/>
      <c r="F6" s="432"/>
      <c r="G6" s="432"/>
      <c r="H6" s="432"/>
      <c r="I6" s="432"/>
      <c r="J6" s="432"/>
      <c r="K6" s="432"/>
      <c r="L6" s="433" t="s">
        <v>20</v>
      </c>
      <c r="M6" s="433"/>
      <c r="N6" s="424" t="s">
        <v>0</v>
      </c>
      <c r="O6" s="28"/>
      <c r="P6" s="28"/>
      <c r="Q6" s="28"/>
      <c r="R6" s="28"/>
    </row>
    <row r="7" spans="1:18" ht="41.25" customHeight="1">
      <c r="A7" s="427"/>
      <c r="B7" s="432"/>
      <c r="C7" s="432"/>
      <c r="D7" s="432"/>
      <c r="E7" s="432"/>
      <c r="F7" s="432"/>
      <c r="G7" s="432"/>
      <c r="H7" s="432"/>
      <c r="I7" s="432"/>
      <c r="J7" s="432"/>
      <c r="K7" s="432"/>
      <c r="L7" s="357" t="s">
        <v>18</v>
      </c>
      <c r="M7" s="357" t="s">
        <v>19</v>
      </c>
      <c r="N7" s="431"/>
      <c r="O7" s="28"/>
      <c r="P7" s="28"/>
      <c r="Q7" s="28"/>
      <c r="R7" s="28"/>
    </row>
    <row r="8" spans="1:18" ht="78" customHeight="1">
      <c r="A8" s="427"/>
      <c r="B8" s="345" t="s">
        <v>614</v>
      </c>
      <c r="C8" s="345" t="s">
        <v>612</v>
      </c>
      <c r="D8" s="345" t="s">
        <v>610</v>
      </c>
      <c r="E8" s="345" t="s">
        <v>608</v>
      </c>
      <c r="F8" s="345" t="s">
        <v>606</v>
      </c>
      <c r="G8" s="345" t="s">
        <v>604</v>
      </c>
      <c r="H8" s="345" t="s">
        <v>602</v>
      </c>
      <c r="I8" s="345" t="s">
        <v>600</v>
      </c>
      <c r="J8" s="345" t="s">
        <v>598</v>
      </c>
      <c r="K8" s="345" t="s">
        <v>596</v>
      </c>
      <c r="L8" s="129" t="s">
        <v>640</v>
      </c>
      <c r="M8" s="129" t="s">
        <v>304</v>
      </c>
      <c r="N8" s="425"/>
      <c r="O8" s="349"/>
      <c r="P8" s="423"/>
      <c r="Q8" s="423"/>
      <c r="R8" s="423"/>
    </row>
    <row r="9" spans="1:18">
      <c r="A9" s="7" t="s">
        <v>624</v>
      </c>
      <c r="B9" s="10"/>
      <c r="C9" s="10"/>
      <c r="D9" s="10"/>
      <c r="E9" s="10"/>
      <c r="F9" s="10"/>
      <c r="G9" s="10"/>
      <c r="H9" s="10"/>
      <c r="I9" s="10"/>
      <c r="J9" s="10"/>
      <c r="K9" s="10"/>
      <c r="L9" s="26" t="e">
        <f>SUM(B9:K9)/'[1]4.b.Cohortes semestre-ciclo'!B8</f>
        <v>#DIV/0!</v>
      </c>
      <c r="M9" s="27" t="e">
        <f>SUM(B9:D9)/'[1]4.b.Cohortes semestre-ciclo'!B8</f>
        <v>#DIV/0!</v>
      </c>
      <c r="N9" s="27"/>
      <c r="O9" s="28"/>
      <c r="P9" s="28"/>
      <c r="Q9" s="28"/>
      <c r="R9" s="28"/>
    </row>
    <row r="10" spans="1:18">
      <c r="A10" s="7" t="s">
        <v>625</v>
      </c>
      <c r="B10" s="7"/>
      <c r="C10" s="10"/>
      <c r="D10" s="10"/>
      <c r="E10" s="10"/>
      <c r="F10" s="10"/>
      <c r="G10" s="10"/>
      <c r="H10" s="10"/>
      <c r="I10" s="10"/>
      <c r="J10" s="10"/>
      <c r="K10" s="10"/>
      <c r="L10" s="26" t="e">
        <f>SUM(B10:K10)/'[1]4.b.Cohortes semestre-ciclo'!C9</f>
        <v>#DIV/0!</v>
      </c>
      <c r="M10" s="27" t="e">
        <f>SUM(C10:E10)/'[1]4.b.Cohortes semestre-ciclo'!C9</f>
        <v>#DIV/0!</v>
      </c>
      <c r="N10" s="27"/>
      <c r="O10" s="28"/>
      <c r="P10" s="28"/>
      <c r="Q10" s="28"/>
      <c r="R10" s="28"/>
    </row>
    <row r="11" spans="1:18">
      <c r="A11" s="7" t="s">
        <v>626</v>
      </c>
      <c r="B11" s="7"/>
      <c r="C11" s="288"/>
      <c r="D11" s="11"/>
      <c r="E11" s="11"/>
      <c r="F11" s="11"/>
      <c r="G11" s="11"/>
      <c r="H11" s="11"/>
      <c r="I11" s="11"/>
      <c r="J11" s="11"/>
      <c r="K11" s="11"/>
      <c r="L11" s="26" t="e">
        <f>SUM(B11:K11)/'[1]4.b.Cohortes semestre-ciclo'!D10</f>
        <v>#DIV/0!</v>
      </c>
      <c r="M11" s="27" t="e">
        <f>SUM(D11:F11)/'[1]4.b.Cohortes semestre-ciclo'!D10</f>
        <v>#DIV/0!</v>
      </c>
      <c r="N11" s="27"/>
      <c r="O11" s="28"/>
      <c r="P11" s="28"/>
      <c r="Q11" s="28"/>
      <c r="R11" s="28"/>
    </row>
    <row r="12" spans="1:18">
      <c r="A12" s="7" t="s">
        <v>627</v>
      </c>
      <c r="B12" s="7"/>
      <c r="C12" s="288"/>
      <c r="D12" s="288"/>
      <c r="E12" s="11"/>
      <c r="F12" s="11"/>
      <c r="G12" s="11"/>
      <c r="H12" s="11"/>
      <c r="I12" s="11"/>
      <c r="J12" s="11"/>
      <c r="K12" s="11"/>
      <c r="L12" s="26" t="e">
        <f>SUM(B12:K12)/'[1]4.b.Cohortes semestre-ciclo'!E11</f>
        <v>#DIV/0!</v>
      </c>
      <c r="M12" s="27" t="e">
        <f>SUM(E12:G12)/'[1]4.b.Cohortes semestre-ciclo'!E11</f>
        <v>#DIV/0!</v>
      </c>
      <c r="N12" s="27"/>
      <c r="O12" s="28"/>
      <c r="P12" s="28"/>
      <c r="Q12" s="28"/>
      <c r="R12" s="28"/>
    </row>
    <row r="13" spans="1:18">
      <c r="A13" s="7" t="s">
        <v>628</v>
      </c>
      <c r="B13" s="7"/>
      <c r="C13" s="288"/>
      <c r="D13" s="288"/>
      <c r="E13" s="288"/>
      <c r="F13" s="11"/>
      <c r="G13" s="11"/>
      <c r="H13" s="11"/>
      <c r="I13" s="11"/>
      <c r="J13" s="11"/>
      <c r="K13" s="11"/>
      <c r="L13" s="26" t="e">
        <f>SUM(B13:K13)/'[1]4.b.Cohortes semestre-ciclo'!F12</f>
        <v>#DIV/0!</v>
      </c>
      <c r="M13" s="27" t="e">
        <f>SUM(F13:H13)/'[1]4.b.Cohortes semestre-ciclo'!F12</f>
        <v>#DIV/0!</v>
      </c>
      <c r="N13" s="27"/>
      <c r="O13" s="28"/>
      <c r="P13" s="28"/>
      <c r="Q13" s="28"/>
      <c r="R13" s="28"/>
    </row>
    <row r="14" spans="1:18">
      <c r="A14" s="7" t="s">
        <v>629</v>
      </c>
      <c r="B14" s="7"/>
      <c r="C14" s="288"/>
      <c r="D14" s="288"/>
      <c r="E14" s="288"/>
      <c r="F14" s="288"/>
      <c r="G14" s="11"/>
      <c r="H14" s="11"/>
      <c r="I14" s="11"/>
      <c r="J14" s="11"/>
      <c r="K14" s="11"/>
      <c r="L14" s="26" t="e">
        <f>SUM(B14:K14)/'[1]4.b.Cohortes semestre-ciclo'!G13</f>
        <v>#DIV/0!</v>
      </c>
      <c r="M14" s="27" t="e">
        <f>SUM(G14:I14)/'[1]4.b.Cohortes semestre-ciclo'!G13</f>
        <v>#DIV/0!</v>
      </c>
      <c r="N14" s="16"/>
      <c r="O14" s="28"/>
      <c r="P14" s="28"/>
      <c r="Q14" s="28"/>
      <c r="R14" s="28"/>
    </row>
    <row r="15" spans="1:18">
      <c r="A15" s="7" t="s">
        <v>630</v>
      </c>
      <c r="B15" s="7"/>
      <c r="C15" s="288"/>
      <c r="D15" s="288"/>
      <c r="E15" s="288"/>
      <c r="F15" s="288"/>
      <c r="G15" s="288"/>
      <c r="H15" s="11"/>
      <c r="I15" s="11"/>
      <c r="J15" s="11"/>
      <c r="K15" s="11"/>
      <c r="L15" s="26" t="e">
        <f>SUM(B15:K15)/'[1]4.b.Cohortes semestre-ciclo'!H14</f>
        <v>#DIV/0!</v>
      </c>
      <c r="M15" s="27" t="e">
        <f>SUM(H15:J15)/'[1]4.b.Cohortes semestre-ciclo'!H14</f>
        <v>#DIV/0!</v>
      </c>
      <c r="N15" s="16"/>
      <c r="O15" s="28"/>
      <c r="P15" s="28"/>
      <c r="Q15" s="28"/>
      <c r="R15" s="28"/>
    </row>
    <row r="16" spans="1:18">
      <c r="A16" s="7" t="s">
        <v>631</v>
      </c>
      <c r="B16" s="7"/>
      <c r="C16" s="288"/>
      <c r="D16" s="288"/>
      <c r="E16" s="288"/>
      <c r="F16" s="288"/>
      <c r="G16" s="288"/>
      <c r="H16" s="288"/>
      <c r="I16" s="11"/>
      <c r="J16" s="11"/>
      <c r="K16" s="11"/>
      <c r="L16" s="26" t="e">
        <f>SUM(B16:K16)/'[1]4.b.Cohortes semestre-ciclo'!I15</f>
        <v>#DIV/0!</v>
      </c>
      <c r="M16" s="27" t="e">
        <f>SUM(I16:K16)/'[1]4.b.Cohortes semestre-ciclo'!I15</f>
        <v>#DIV/0!</v>
      </c>
      <c r="N16" s="16"/>
      <c r="O16" s="28"/>
      <c r="P16" s="28"/>
      <c r="Q16" s="28"/>
      <c r="R16" s="28"/>
    </row>
    <row r="17" spans="1:20">
      <c r="A17" s="7" t="s">
        <v>632</v>
      </c>
      <c r="B17" s="7"/>
      <c r="C17" s="288"/>
      <c r="D17" s="288"/>
      <c r="E17" s="288"/>
      <c r="F17" s="288"/>
      <c r="G17" s="288"/>
      <c r="H17" s="288"/>
      <c r="I17" s="288"/>
      <c r="J17" s="11"/>
      <c r="K17" s="11"/>
      <c r="L17" s="26" t="e">
        <f>SUM(B17:K17)/'[1]4.b.Cohortes semestre-ciclo'!J16</f>
        <v>#DIV/0!</v>
      </c>
      <c r="M17" s="27" t="e">
        <f>SUM(J17:K17)/'[1]4.b.Cohortes semestre-ciclo'!J16</f>
        <v>#DIV/0!</v>
      </c>
      <c r="N17" s="16"/>
      <c r="O17" s="28"/>
      <c r="P17" s="28"/>
      <c r="Q17" s="28"/>
      <c r="R17" s="28"/>
    </row>
    <row r="18" spans="1:20">
      <c r="A18" s="7" t="s">
        <v>633</v>
      </c>
      <c r="B18" s="7"/>
      <c r="C18" s="288"/>
      <c r="D18" s="288"/>
      <c r="E18" s="288"/>
      <c r="F18" s="288"/>
      <c r="G18" s="288"/>
      <c r="H18" s="288"/>
      <c r="I18" s="288"/>
      <c r="J18" s="288"/>
      <c r="K18" s="11"/>
      <c r="L18" s="26" t="e">
        <f>SUM(B18:K18)/'[1]4.b.Cohortes semestre-ciclo'!K17</f>
        <v>#DIV/0!</v>
      </c>
      <c r="M18" s="27" t="e">
        <f>SUM(K18)/'[1]4.b.Cohortes semestre-ciclo'!K17</f>
        <v>#DIV/0!</v>
      </c>
      <c r="N18" s="16"/>
      <c r="O18" s="28"/>
      <c r="P18" s="28"/>
      <c r="Q18" s="28"/>
      <c r="R18" s="28"/>
    </row>
    <row r="19" spans="1:20">
      <c r="A19" s="133"/>
      <c r="B19" s="133"/>
      <c r="C19" s="124"/>
      <c r="D19" s="124"/>
      <c r="E19" s="124"/>
      <c r="F19" s="124"/>
      <c r="G19" s="124"/>
      <c r="H19" s="124"/>
      <c r="I19" s="124"/>
      <c r="J19" s="124"/>
      <c r="K19" s="124"/>
      <c r="L19" s="28"/>
      <c r="M19" s="28"/>
      <c r="N19" s="28"/>
      <c r="O19" s="28"/>
      <c r="P19" s="28"/>
      <c r="Q19" s="28"/>
      <c r="R19" s="28"/>
    </row>
    <row r="20" spans="1:20" ht="15" thickBot="1">
      <c r="A20" s="133"/>
      <c r="B20" s="133"/>
      <c r="C20" s="124"/>
      <c r="D20" s="124"/>
      <c r="E20" s="124"/>
      <c r="F20" s="124"/>
      <c r="G20" s="124"/>
      <c r="H20" s="124"/>
      <c r="I20" s="124"/>
      <c r="J20" s="124"/>
      <c r="K20" s="124"/>
      <c r="L20" s="28"/>
      <c r="M20" s="28"/>
      <c r="N20" s="28"/>
      <c r="O20" s="28"/>
      <c r="P20" s="28"/>
      <c r="Q20" s="28"/>
      <c r="R20" s="28"/>
    </row>
    <row r="21" spans="1:20" ht="58.5" customHeight="1" thickBot="1">
      <c r="A21" s="428" t="s">
        <v>641</v>
      </c>
      <c r="B21" s="429"/>
      <c r="C21" s="429"/>
      <c r="D21" s="429"/>
      <c r="E21" s="429"/>
      <c r="F21" s="429"/>
      <c r="G21" s="429"/>
      <c r="H21" s="429"/>
      <c r="I21" s="429"/>
      <c r="J21" s="429"/>
      <c r="K21" s="429"/>
      <c r="L21" s="429"/>
      <c r="M21" s="429"/>
      <c r="N21" s="429"/>
      <c r="O21" s="430"/>
      <c r="P21" s="28"/>
      <c r="Q21" s="28"/>
      <c r="R21" s="28"/>
    </row>
    <row r="22" spans="1:20" ht="29.15" customHeight="1" thickBot="1">
      <c r="A22" s="731" t="s">
        <v>21</v>
      </c>
      <c r="B22" s="732"/>
      <c r="C22" s="732"/>
      <c r="D22" s="732"/>
      <c r="E22" s="732"/>
      <c r="F22" s="732"/>
      <c r="G22" s="732"/>
      <c r="H22" s="13"/>
      <c r="I22" s="13"/>
      <c r="J22" s="13"/>
      <c r="K22" s="13"/>
      <c r="L22" s="13"/>
      <c r="M22" s="13"/>
      <c r="N22" s="13"/>
      <c r="O22" s="13"/>
      <c r="P22" s="13"/>
      <c r="Q22" s="13"/>
      <c r="R22" s="13"/>
      <c r="S22" s="13"/>
      <c r="T22" s="13"/>
    </row>
    <row r="23" spans="1:20">
      <c r="A23" s="8"/>
      <c r="B23" s="8"/>
      <c r="C23" s="9"/>
      <c r="D23" s="9"/>
      <c r="E23" s="9"/>
      <c r="F23" s="9"/>
      <c r="G23" s="9"/>
      <c r="H23" s="9"/>
      <c r="I23" s="9"/>
      <c r="J23" s="9"/>
      <c r="K23" s="9"/>
    </row>
    <row r="24" spans="1:20">
      <c r="A24" s="8"/>
      <c r="B24" s="8"/>
      <c r="C24" s="9"/>
      <c r="D24" s="9"/>
      <c r="E24" s="9"/>
      <c r="F24" s="9"/>
      <c r="G24" s="9"/>
      <c r="H24" s="9"/>
      <c r="I24" s="9"/>
      <c r="J24" s="9"/>
      <c r="K24" s="9"/>
    </row>
    <row r="25" spans="1:20">
      <c r="A25" s="8"/>
      <c r="B25" s="8"/>
      <c r="C25" s="9"/>
      <c r="D25" s="9"/>
      <c r="E25" s="9"/>
      <c r="F25" s="9"/>
      <c r="G25" s="9"/>
      <c r="H25" s="9"/>
      <c r="I25" s="9"/>
      <c r="J25" s="9"/>
      <c r="K25" s="9"/>
    </row>
    <row r="26" spans="1:20">
      <c r="A26" s="8"/>
      <c r="B26" s="8"/>
      <c r="C26" s="9"/>
      <c r="D26" s="9"/>
      <c r="E26" s="9"/>
      <c r="F26" s="9"/>
      <c r="G26" s="9"/>
      <c r="H26" s="9"/>
      <c r="I26" s="9"/>
      <c r="J26" s="9"/>
      <c r="K26" s="9"/>
    </row>
  </sheetData>
  <sheetProtection selectLockedCells="1" selectUnlockedCells="1"/>
  <protectedRanges>
    <protectedRange sqref="D11:K11 E12:K12 K13 B9:K9 C10:K10" name="Rango1"/>
  </protectedRanges>
  <mergeCells count="11">
    <mergeCell ref="L6:M6"/>
    <mergeCell ref="N6:N8"/>
    <mergeCell ref="P8:R8"/>
    <mergeCell ref="A21:O21"/>
    <mergeCell ref="A22:G22"/>
    <mergeCell ref="A1:K1"/>
    <mergeCell ref="A3:K3"/>
    <mergeCell ref="A4:K4"/>
    <mergeCell ref="A5:K5"/>
    <mergeCell ref="A6:A8"/>
    <mergeCell ref="B6:K7"/>
  </mergeCells>
  <pageMargins left="0.7" right="0.7" top="0.75" bottom="0.75" header="0.3" footer="0.3"/>
  <pageSetup orientation="portrait" verticalDpi="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1"/>
  <dimension ref="A1:L51"/>
  <sheetViews>
    <sheetView zoomScaleNormal="100" workbookViewId="0">
      <selection activeCell="D34" sqref="D34"/>
    </sheetView>
  </sheetViews>
  <sheetFormatPr baseColWidth="10" defaultRowHeight="14.5"/>
  <cols>
    <col min="1" max="1" width="2.453125" style="31" customWidth="1"/>
    <col min="2" max="2" width="12.453125" customWidth="1"/>
    <col min="3" max="3" width="28" customWidth="1"/>
    <col min="4" max="4" width="15.453125" customWidth="1"/>
    <col min="5" max="5" width="19.7265625" customWidth="1"/>
    <col min="6" max="6" width="15.26953125" customWidth="1"/>
    <col min="7" max="7" width="16" customWidth="1"/>
    <col min="8" max="8" width="18" customWidth="1"/>
    <col min="10" max="10" width="15.7265625" customWidth="1"/>
  </cols>
  <sheetData>
    <row r="1" spans="1:12">
      <c r="A1" s="438" t="s">
        <v>291</v>
      </c>
      <c r="B1" s="439"/>
      <c r="C1" s="439"/>
      <c r="D1" s="439"/>
      <c r="E1" s="439"/>
      <c r="F1" s="439"/>
      <c r="G1" s="439"/>
      <c r="H1" s="439"/>
      <c r="I1" s="439"/>
      <c r="J1" s="439"/>
      <c r="K1" s="28"/>
      <c r="L1" s="28"/>
    </row>
    <row r="2" spans="1:12">
      <c r="A2" s="126"/>
      <c r="B2" s="28"/>
      <c r="C2" s="28"/>
      <c r="D2" s="28"/>
      <c r="E2" s="28"/>
      <c r="F2" s="28"/>
      <c r="G2" s="28"/>
      <c r="H2" s="28"/>
      <c r="I2" s="28"/>
      <c r="J2" s="28"/>
      <c r="K2" s="28"/>
      <c r="L2" s="28"/>
    </row>
    <row r="3" spans="1:12" ht="18" customHeight="1">
      <c r="A3" s="440" t="s">
        <v>309</v>
      </c>
      <c r="B3" s="440"/>
      <c r="C3" s="440"/>
      <c r="D3" s="440"/>
      <c r="E3" s="440"/>
      <c r="F3" s="440"/>
      <c r="G3" s="440"/>
      <c r="H3" s="440"/>
      <c r="I3" s="440"/>
      <c r="J3" s="28"/>
      <c r="K3" s="28"/>
      <c r="L3" s="28"/>
    </row>
    <row r="4" spans="1:12">
      <c r="A4" s="441" t="s">
        <v>485</v>
      </c>
      <c r="B4" s="441"/>
      <c r="C4" s="441"/>
      <c r="D4" s="441"/>
      <c r="E4" s="441"/>
      <c r="F4" s="441"/>
      <c r="G4" s="441"/>
      <c r="H4" s="441"/>
      <c r="I4" s="441"/>
      <c r="J4" s="28"/>
      <c r="K4" s="28"/>
      <c r="L4" s="28"/>
    </row>
    <row r="5" spans="1:12">
      <c r="A5" s="436"/>
      <c r="B5" s="437"/>
      <c r="C5" s="437"/>
      <c r="D5" s="437"/>
      <c r="E5" s="437"/>
      <c r="F5" s="437"/>
      <c r="G5" s="437"/>
      <c r="H5" s="437"/>
      <c r="I5" s="437"/>
      <c r="J5" s="437"/>
      <c r="K5" s="28"/>
      <c r="L5" s="28"/>
    </row>
    <row r="6" spans="1:12" ht="84.75" customHeight="1">
      <c r="A6" s="32" t="s">
        <v>29</v>
      </c>
      <c r="B6" s="5" t="s">
        <v>305</v>
      </c>
      <c r="C6" s="5" t="s">
        <v>125</v>
      </c>
      <c r="D6" s="5" t="s">
        <v>126</v>
      </c>
      <c r="E6" s="5" t="s">
        <v>124</v>
      </c>
      <c r="F6" s="5" t="s">
        <v>122</v>
      </c>
      <c r="G6" s="5" t="s">
        <v>306</v>
      </c>
      <c r="H6" s="5" t="s">
        <v>308</v>
      </c>
      <c r="I6" s="5" t="s">
        <v>85</v>
      </c>
      <c r="J6" s="29" t="s">
        <v>121</v>
      </c>
      <c r="K6" s="28"/>
      <c r="L6" s="28"/>
    </row>
    <row r="7" spans="1:12">
      <c r="A7" s="33">
        <v>1</v>
      </c>
      <c r="B7" s="16"/>
      <c r="C7" s="16"/>
      <c r="D7" s="16"/>
      <c r="E7" s="16"/>
      <c r="F7" s="16"/>
      <c r="G7" s="16"/>
      <c r="H7" s="16"/>
      <c r="I7" s="16"/>
      <c r="J7" s="16"/>
      <c r="K7" s="28"/>
      <c r="L7" s="28"/>
    </row>
    <row r="8" spans="1:12">
      <c r="A8" s="33">
        <v>2</v>
      </c>
      <c r="B8" s="16"/>
      <c r="C8" s="16"/>
      <c r="D8" s="16"/>
      <c r="E8" s="16"/>
      <c r="F8" s="16"/>
      <c r="G8" s="16"/>
      <c r="H8" s="16"/>
      <c r="I8" s="16"/>
      <c r="J8" s="16"/>
      <c r="K8" s="28"/>
      <c r="L8" s="28"/>
    </row>
    <row r="9" spans="1:12">
      <c r="A9" s="33">
        <v>3</v>
      </c>
      <c r="B9" s="16"/>
      <c r="C9" s="16"/>
      <c r="D9" s="16"/>
      <c r="E9" s="16"/>
      <c r="F9" s="16"/>
      <c r="G9" s="16"/>
      <c r="H9" s="16"/>
      <c r="I9" s="16"/>
      <c r="J9" s="16"/>
      <c r="K9" s="28"/>
      <c r="L9" s="28"/>
    </row>
    <row r="10" spans="1:12">
      <c r="A10" s="33">
        <v>4</v>
      </c>
      <c r="B10" s="16"/>
      <c r="C10" s="16"/>
      <c r="D10" s="16"/>
      <c r="E10" s="16"/>
      <c r="F10" s="16"/>
      <c r="G10" s="16"/>
      <c r="H10" s="16"/>
      <c r="I10" s="16"/>
      <c r="J10" s="16"/>
      <c r="K10" s="28"/>
      <c r="L10" s="28"/>
    </row>
    <row r="11" spans="1:12">
      <c r="A11" s="33">
        <v>5</v>
      </c>
      <c r="B11" s="16"/>
      <c r="C11" s="16"/>
      <c r="D11" s="16"/>
      <c r="E11" s="16"/>
      <c r="F11" s="16"/>
      <c r="G11" s="16"/>
      <c r="H11" s="16"/>
      <c r="I11" s="16"/>
      <c r="J11" s="16"/>
      <c r="K11" s="28"/>
      <c r="L11" s="28"/>
    </row>
    <row r="12" spans="1:12">
      <c r="A12" s="33">
        <v>6</v>
      </c>
      <c r="B12" s="16"/>
      <c r="C12" s="16"/>
      <c r="D12" s="16"/>
      <c r="E12" s="16"/>
      <c r="F12" s="16"/>
      <c r="G12" s="16"/>
      <c r="H12" s="16"/>
      <c r="I12" s="16"/>
      <c r="J12" s="16"/>
      <c r="K12" s="28"/>
      <c r="L12" s="28"/>
    </row>
    <row r="13" spans="1:12">
      <c r="A13" s="33">
        <v>7</v>
      </c>
      <c r="B13" s="16"/>
      <c r="C13" s="16"/>
      <c r="D13" s="16"/>
      <c r="E13" s="16"/>
      <c r="F13" s="16"/>
      <c r="G13" s="16"/>
      <c r="H13" s="16"/>
      <c r="I13" s="16"/>
      <c r="J13" s="16"/>
      <c r="K13" s="28"/>
      <c r="L13" s="28"/>
    </row>
    <row r="14" spans="1:12">
      <c r="A14" s="33">
        <v>8</v>
      </c>
      <c r="B14" s="16"/>
      <c r="C14" s="16"/>
      <c r="D14" s="16"/>
      <c r="E14" s="16"/>
      <c r="F14" s="16"/>
      <c r="G14" s="16"/>
      <c r="H14" s="16"/>
      <c r="I14" s="16"/>
      <c r="J14" s="16"/>
      <c r="K14" s="28"/>
      <c r="L14" s="28"/>
    </row>
    <row r="15" spans="1:12">
      <c r="A15" s="33">
        <v>9</v>
      </c>
      <c r="B15" s="16"/>
      <c r="C15" s="16"/>
      <c r="D15" s="16"/>
      <c r="E15" s="16"/>
      <c r="F15" s="16"/>
      <c r="G15" s="16"/>
      <c r="H15" s="16"/>
      <c r="I15" s="16"/>
      <c r="J15" s="16"/>
      <c r="K15" s="28"/>
      <c r="L15" s="28"/>
    </row>
    <row r="16" spans="1:12">
      <c r="A16" s="33">
        <v>10</v>
      </c>
      <c r="B16" s="16"/>
      <c r="C16" s="16"/>
      <c r="D16" s="16"/>
      <c r="E16" s="16"/>
      <c r="F16" s="16"/>
      <c r="G16" s="16"/>
      <c r="H16" s="16"/>
      <c r="I16" s="16"/>
      <c r="J16" s="16"/>
      <c r="K16" s="28"/>
      <c r="L16" s="28"/>
    </row>
    <row r="17" spans="1:12">
      <c r="A17" s="33">
        <v>11</v>
      </c>
      <c r="B17" s="16"/>
      <c r="C17" s="16"/>
      <c r="D17" s="16"/>
      <c r="E17" s="16"/>
      <c r="F17" s="16"/>
      <c r="G17" s="16"/>
      <c r="H17" s="16"/>
      <c r="I17" s="16"/>
      <c r="J17" s="16"/>
      <c r="K17" s="28"/>
      <c r="L17" s="28"/>
    </row>
    <row r="18" spans="1:12">
      <c r="A18" s="33">
        <v>12</v>
      </c>
      <c r="B18" s="16"/>
      <c r="C18" s="16"/>
      <c r="D18" s="16"/>
      <c r="E18" s="16"/>
      <c r="F18" s="16"/>
      <c r="G18" s="16"/>
      <c r="H18" s="16"/>
      <c r="I18" s="16"/>
      <c r="J18" s="16"/>
      <c r="K18" s="28"/>
      <c r="L18" s="28"/>
    </row>
    <row r="19" spans="1:12">
      <c r="A19" s="33">
        <v>13</v>
      </c>
      <c r="B19" s="16"/>
      <c r="C19" s="16"/>
      <c r="D19" s="16"/>
      <c r="E19" s="16"/>
      <c r="F19" s="16"/>
      <c r="G19" s="16"/>
      <c r="H19" s="16"/>
      <c r="I19" s="16"/>
      <c r="J19" s="16"/>
      <c r="K19" s="28"/>
      <c r="L19" s="28"/>
    </row>
    <row r="20" spans="1:12">
      <c r="A20" s="33">
        <v>14</v>
      </c>
      <c r="B20" s="16"/>
      <c r="C20" s="16"/>
      <c r="D20" s="16"/>
      <c r="E20" s="16"/>
      <c r="F20" s="16"/>
      <c r="G20" s="16"/>
      <c r="H20" s="16"/>
      <c r="I20" s="16"/>
      <c r="J20" s="16"/>
      <c r="K20" s="28"/>
      <c r="L20" s="28"/>
    </row>
    <row r="21" spans="1:12">
      <c r="A21" s="33">
        <v>15</v>
      </c>
      <c r="B21" s="16"/>
      <c r="C21" s="16"/>
      <c r="D21" s="16"/>
      <c r="E21" s="16"/>
      <c r="F21" s="16"/>
      <c r="G21" s="16"/>
      <c r="H21" s="16"/>
      <c r="I21" s="16"/>
      <c r="J21" s="16"/>
      <c r="K21" s="28"/>
      <c r="L21" s="28"/>
    </row>
    <row r="22" spans="1:12">
      <c r="A22" s="33">
        <v>16</v>
      </c>
      <c r="B22" s="16"/>
      <c r="C22" s="16"/>
      <c r="D22" s="16"/>
      <c r="E22" s="16"/>
      <c r="F22" s="16"/>
      <c r="G22" s="16"/>
      <c r="H22" s="16"/>
      <c r="I22" s="16"/>
      <c r="J22" s="16"/>
      <c r="K22" s="28"/>
      <c r="L22" s="28"/>
    </row>
    <row r="23" spans="1:12">
      <c r="A23" s="33">
        <v>17</v>
      </c>
      <c r="B23" s="16"/>
      <c r="C23" s="16"/>
      <c r="D23" s="16"/>
      <c r="E23" s="16"/>
      <c r="F23" s="16"/>
      <c r="G23" s="16"/>
      <c r="H23" s="16"/>
      <c r="I23" s="16"/>
      <c r="J23" s="16"/>
      <c r="K23" s="28"/>
      <c r="L23" s="28"/>
    </row>
    <row r="24" spans="1:12">
      <c r="A24" s="33">
        <v>18</v>
      </c>
      <c r="B24" s="16"/>
      <c r="C24" s="16"/>
      <c r="D24" s="16"/>
      <c r="E24" s="16"/>
      <c r="F24" s="16"/>
      <c r="G24" s="16"/>
      <c r="H24" s="16"/>
      <c r="I24" s="16"/>
      <c r="J24" s="16"/>
      <c r="K24" s="28"/>
      <c r="L24" s="28"/>
    </row>
    <row r="25" spans="1:12">
      <c r="A25" s="33">
        <v>19</v>
      </c>
      <c r="B25" s="16"/>
      <c r="C25" s="16"/>
      <c r="D25" s="16"/>
      <c r="E25" s="16"/>
      <c r="F25" s="16"/>
      <c r="G25" s="16"/>
      <c r="H25" s="16"/>
      <c r="I25" s="16"/>
      <c r="J25" s="16"/>
      <c r="K25" s="28"/>
      <c r="L25" s="28"/>
    </row>
    <row r="26" spans="1:12">
      <c r="A26" s="33">
        <v>20</v>
      </c>
      <c r="B26" s="16"/>
      <c r="C26" s="16"/>
      <c r="D26" s="16"/>
      <c r="E26" s="16"/>
      <c r="F26" s="16"/>
      <c r="G26" s="16"/>
      <c r="H26" s="16"/>
      <c r="I26" s="16"/>
      <c r="J26" s="16"/>
      <c r="K26" s="28"/>
      <c r="L26" s="28"/>
    </row>
    <row r="27" spans="1:12">
      <c r="A27" s="33">
        <v>21</v>
      </c>
      <c r="B27" s="16"/>
      <c r="C27" s="16"/>
      <c r="D27" s="16"/>
      <c r="E27" s="16"/>
      <c r="F27" s="16"/>
      <c r="G27" s="16"/>
      <c r="H27" s="16"/>
      <c r="I27" s="16"/>
      <c r="J27" s="16"/>
      <c r="K27" s="28"/>
      <c r="L27" s="28"/>
    </row>
    <row r="28" spans="1:12">
      <c r="A28" s="33">
        <v>22</v>
      </c>
      <c r="B28" s="16"/>
      <c r="C28" s="16"/>
      <c r="D28" s="16"/>
      <c r="E28" s="16"/>
      <c r="F28" s="16"/>
      <c r="G28" s="16"/>
      <c r="H28" s="16"/>
      <c r="I28" s="16"/>
      <c r="J28" s="16"/>
      <c r="K28" s="28"/>
      <c r="L28" s="28"/>
    </row>
    <row r="29" spans="1:12">
      <c r="A29" s="33">
        <v>23</v>
      </c>
      <c r="B29" s="16"/>
      <c r="C29" s="16"/>
      <c r="D29" s="16"/>
      <c r="E29" s="16"/>
      <c r="F29" s="16"/>
      <c r="G29" s="16"/>
      <c r="H29" s="16"/>
      <c r="I29" s="16"/>
      <c r="J29" s="16"/>
      <c r="K29" s="28"/>
      <c r="L29" s="28"/>
    </row>
    <row r="30" spans="1:12">
      <c r="A30" s="33">
        <v>24</v>
      </c>
      <c r="B30" s="16"/>
      <c r="C30" s="16"/>
      <c r="D30" s="16"/>
      <c r="E30" s="16"/>
      <c r="F30" s="16"/>
      <c r="G30" s="16"/>
      <c r="H30" s="16"/>
      <c r="I30" s="16"/>
      <c r="J30" s="16"/>
      <c r="K30" s="28"/>
      <c r="L30" s="28"/>
    </row>
    <row r="31" spans="1:12">
      <c r="A31" s="33">
        <v>25</v>
      </c>
      <c r="B31" s="16"/>
      <c r="C31" s="16"/>
      <c r="D31" s="16"/>
      <c r="E31" s="16"/>
      <c r="F31" s="16"/>
      <c r="G31" s="16"/>
      <c r="H31" s="16"/>
      <c r="I31" s="16"/>
      <c r="J31" s="16"/>
      <c r="K31" s="28"/>
      <c r="L31" s="28"/>
    </row>
    <row r="32" spans="1:12">
      <c r="A32" s="33">
        <v>26</v>
      </c>
      <c r="B32" s="16"/>
      <c r="C32" s="16"/>
      <c r="D32" s="16"/>
      <c r="E32" s="16"/>
      <c r="F32" s="16"/>
      <c r="G32" s="16"/>
      <c r="H32" s="16"/>
      <c r="I32" s="16"/>
      <c r="J32" s="16"/>
      <c r="K32" s="28"/>
      <c r="L32" s="28"/>
    </row>
    <row r="33" spans="1:12">
      <c r="A33" s="33">
        <v>27</v>
      </c>
      <c r="B33" s="16"/>
      <c r="C33" s="16"/>
      <c r="D33" s="16"/>
      <c r="E33" s="16"/>
      <c r="F33" s="16"/>
      <c r="G33" s="16"/>
      <c r="H33" s="16"/>
      <c r="I33" s="16"/>
      <c r="J33" s="16"/>
      <c r="K33" s="28"/>
      <c r="L33" s="28"/>
    </row>
    <row r="34" spans="1:12">
      <c r="A34" s="33">
        <v>28</v>
      </c>
      <c r="B34" s="16"/>
      <c r="C34" s="16"/>
      <c r="D34" s="16"/>
      <c r="E34" s="16"/>
      <c r="F34" s="16"/>
      <c r="G34" s="16"/>
      <c r="H34" s="16"/>
      <c r="I34" s="16"/>
      <c r="J34" s="16"/>
      <c r="K34" s="28"/>
      <c r="L34" s="28"/>
    </row>
    <row r="35" spans="1:12">
      <c r="A35" s="33">
        <v>29</v>
      </c>
      <c r="B35" s="16"/>
      <c r="C35" s="16"/>
      <c r="D35" s="16"/>
      <c r="E35" s="16"/>
      <c r="F35" s="16"/>
      <c r="G35" s="16"/>
      <c r="H35" s="16"/>
      <c r="I35" s="16"/>
      <c r="J35" s="16"/>
      <c r="K35" s="28"/>
      <c r="L35" s="28"/>
    </row>
    <row r="36" spans="1:12">
      <c r="A36" s="33">
        <v>30</v>
      </c>
      <c r="B36" s="16"/>
      <c r="C36" s="16"/>
      <c r="D36" s="16"/>
      <c r="E36" s="16"/>
      <c r="F36" s="16"/>
      <c r="G36" s="16"/>
      <c r="H36" s="16"/>
      <c r="I36" s="16"/>
      <c r="J36" s="16"/>
      <c r="K36" s="28"/>
      <c r="L36" s="28"/>
    </row>
    <row r="37" spans="1:12">
      <c r="A37" s="33">
        <v>31</v>
      </c>
      <c r="B37" s="16"/>
      <c r="C37" s="16"/>
      <c r="D37" s="16"/>
      <c r="E37" s="16"/>
      <c r="F37" s="16"/>
      <c r="G37" s="16"/>
      <c r="H37" s="16"/>
      <c r="I37" s="16"/>
      <c r="J37" s="16"/>
      <c r="K37" s="28"/>
      <c r="L37" s="28"/>
    </row>
    <row r="38" spans="1:12">
      <c r="A38" s="33">
        <v>32</v>
      </c>
      <c r="B38" s="16"/>
      <c r="C38" s="16"/>
      <c r="D38" s="16"/>
      <c r="E38" s="16"/>
      <c r="F38" s="16"/>
      <c r="G38" s="16"/>
      <c r="H38" s="16"/>
      <c r="I38" s="16"/>
      <c r="J38" s="16"/>
      <c r="K38" s="28"/>
      <c r="L38" s="28"/>
    </row>
    <row r="39" spans="1:12">
      <c r="A39" s="33">
        <v>33</v>
      </c>
      <c r="B39" s="16"/>
      <c r="C39" s="16"/>
      <c r="D39" s="16"/>
      <c r="E39" s="16"/>
      <c r="F39" s="16"/>
      <c r="G39" s="16"/>
      <c r="H39" s="16"/>
      <c r="I39" s="16"/>
      <c r="J39" s="16"/>
      <c r="K39" s="28"/>
      <c r="L39" s="28"/>
    </row>
    <row r="40" spans="1:12">
      <c r="A40" s="33">
        <v>34</v>
      </c>
      <c r="B40" s="16"/>
      <c r="C40" s="16"/>
      <c r="D40" s="16"/>
      <c r="E40" s="16"/>
      <c r="F40" s="16"/>
      <c r="G40" s="16"/>
      <c r="H40" s="16"/>
      <c r="I40" s="16"/>
      <c r="J40" s="16"/>
      <c r="K40" s="28"/>
      <c r="L40" s="28"/>
    </row>
    <row r="41" spans="1:12">
      <c r="A41" s="33">
        <v>35</v>
      </c>
      <c r="B41" s="16"/>
      <c r="C41" s="16"/>
      <c r="D41" s="16"/>
      <c r="E41" s="16"/>
      <c r="F41" s="16"/>
      <c r="G41" s="16"/>
      <c r="H41" s="16"/>
      <c r="I41" s="16"/>
      <c r="J41" s="16"/>
      <c r="K41" s="28"/>
      <c r="L41" s="28"/>
    </row>
    <row r="42" spans="1:12">
      <c r="A42" s="33">
        <v>36</v>
      </c>
      <c r="B42" s="16"/>
      <c r="C42" s="16"/>
      <c r="D42" s="16"/>
      <c r="E42" s="16"/>
      <c r="F42" s="16"/>
      <c r="G42" s="16"/>
      <c r="H42" s="16"/>
      <c r="I42" s="16"/>
      <c r="J42" s="16"/>
      <c r="K42" s="28"/>
      <c r="L42" s="28"/>
    </row>
    <row r="43" spans="1:12">
      <c r="A43" s="33">
        <v>37</v>
      </c>
      <c r="B43" s="16"/>
      <c r="C43" s="16"/>
      <c r="D43" s="16"/>
      <c r="E43" s="16"/>
      <c r="F43" s="16"/>
      <c r="G43" s="16"/>
      <c r="H43" s="16"/>
      <c r="I43" s="16"/>
      <c r="J43" s="16"/>
      <c r="K43" s="28"/>
      <c r="L43" s="28"/>
    </row>
    <row r="44" spans="1:12">
      <c r="A44" s="33">
        <v>38</v>
      </c>
      <c r="B44" s="16"/>
      <c r="C44" s="16"/>
      <c r="D44" s="16"/>
      <c r="E44" s="16"/>
      <c r="F44" s="16"/>
      <c r="G44" s="16"/>
      <c r="H44" s="16"/>
      <c r="I44" s="16"/>
      <c r="J44" s="16"/>
      <c r="K44" s="28"/>
      <c r="L44" s="28"/>
    </row>
    <row r="45" spans="1:12">
      <c r="A45" s="33">
        <v>39</v>
      </c>
      <c r="B45" s="16"/>
      <c r="C45" s="16"/>
      <c r="D45" s="16"/>
      <c r="E45" s="16"/>
      <c r="F45" s="16"/>
      <c r="G45" s="16"/>
      <c r="H45" s="16"/>
      <c r="I45" s="16"/>
      <c r="J45" s="16"/>
      <c r="K45" s="28"/>
      <c r="L45" s="28"/>
    </row>
    <row r="46" spans="1:12">
      <c r="A46" s="33">
        <v>40</v>
      </c>
      <c r="B46" s="16"/>
      <c r="C46" s="16"/>
      <c r="D46" s="16"/>
      <c r="E46" s="16"/>
      <c r="F46" s="16"/>
      <c r="G46" s="16"/>
      <c r="H46" s="16"/>
      <c r="I46" s="16"/>
      <c r="J46" s="16"/>
      <c r="K46" s="28"/>
      <c r="L46" s="28"/>
    </row>
    <row r="47" spans="1:12">
      <c r="A47" s="126"/>
      <c r="B47" s="28"/>
      <c r="C47" s="28"/>
      <c r="D47" s="28"/>
      <c r="E47" s="28"/>
      <c r="F47" s="28"/>
      <c r="G47" s="28"/>
      <c r="H47" s="28"/>
      <c r="I47" s="28"/>
      <c r="J47" s="28"/>
      <c r="K47" s="28"/>
      <c r="L47" s="28"/>
    </row>
    <row r="48" spans="1:12">
      <c r="A48" s="126"/>
      <c r="B48" s="28"/>
      <c r="C48" s="28"/>
      <c r="D48" s="28"/>
      <c r="E48" s="28"/>
      <c r="F48" s="28"/>
      <c r="G48" s="28"/>
      <c r="H48" s="28"/>
      <c r="I48" s="28"/>
      <c r="J48" s="28"/>
      <c r="K48" s="28"/>
      <c r="L48" s="28"/>
    </row>
    <row r="49" spans="1:12">
      <c r="A49" s="126"/>
      <c r="B49" s="28"/>
      <c r="C49" s="28"/>
      <c r="D49" s="28"/>
      <c r="E49" s="28"/>
      <c r="F49" s="28"/>
      <c r="G49" s="28"/>
      <c r="H49" s="28"/>
      <c r="I49" s="28"/>
      <c r="J49" s="28"/>
      <c r="K49" s="28"/>
      <c r="L49" s="28"/>
    </row>
    <row r="50" spans="1:12">
      <c r="A50" s="126"/>
      <c r="B50" s="28"/>
      <c r="C50" s="28"/>
      <c r="D50" s="28"/>
      <c r="E50" s="28"/>
      <c r="F50" s="28"/>
      <c r="G50" s="28"/>
      <c r="H50" s="28"/>
      <c r="I50" s="28"/>
      <c r="J50" s="28"/>
      <c r="K50" s="28"/>
      <c r="L50" s="28"/>
    </row>
    <row r="51" spans="1:12">
      <c r="A51" s="126"/>
      <c r="B51" s="28"/>
      <c r="C51" s="28"/>
      <c r="D51" s="28"/>
      <c r="E51" s="28"/>
      <c r="F51" s="28"/>
      <c r="G51" s="28"/>
      <c r="H51" s="28"/>
      <c r="I51" s="28"/>
      <c r="J51" s="28"/>
    </row>
  </sheetData>
  <autoFilter ref="A6:J46" xr:uid="{00000000-0009-0000-0000-00000C000000}"/>
  <mergeCells count="4">
    <mergeCell ref="A5:J5"/>
    <mergeCell ref="A1:J1"/>
    <mergeCell ref="A3:I3"/>
    <mergeCell ref="A4:I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9"/>
  <sheetViews>
    <sheetView zoomScaleNormal="100" workbookViewId="0">
      <selection sqref="A1:G1"/>
    </sheetView>
  </sheetViews>
  <sheetFormatPr baseColWidth="10" defaultRowHeight="14.5"/>
  <cols>
    <col min="1" max="1" width="5.453125" customWidth="1"/>
    <col min="2" max="2" width="16" customWidth="1"/>
    <col min="3" max="4" width="23.1796875" customWidth="1"/>
    <col min="5" max="5" width="18.26953125" customWidth="1"/>
    <col min="7" max="7" width="17" customWidth="1"/>
  </cols>
  <sheetData>
    <row r="1" spans="1:8">
      <c r="A1" s="442" t="s">
        <v>412</v>
      </c>
      <c r="B1" s="442"/>
      <c r="C1" s="442"/>
      <c r="D1" s="442"/>
      <c r="E1" s="442"/>
      <c r="F1" s="442"/>
      <c r="G1" s="442"/>
    </row>
    <row r="2" spans="1:8">
      <c r="A2" s="28"/>
      <c r="B2" s="28"/>
      <c r="C2" s="28"/>
      <c r="D2" s="28"/>
      <c r="E2" s="28"/>
      <c r="F2" s="28"/>
      <c r="G2" s="28"/>
    </row>
    <row r="3" spans="1:8" ht="30" customHeight="1">
      <c r="A3" s="361" t="s">
        <v>310</v>
      </c>
      <c r="B3" s="361"/>
      <c r="C3" s="361"/>
      <c r="D3" s="361"/>
      <c r="E3" s="361"/>
      <c r="F3" s="361"/>
      <c r="G3" s="122"/>
      <c r="H3" s="122"/>
    </row>
    <row r="4" spans="1:8" ht="15" thickBot="1">
      <c r="A4" s="28"/>
      <c r="B4" s="28"/>
      <c r="C4" s="28"/>
      <c r="D4" s="28"/>
      <c r="E4" s="28"/>
      <c r="F4" s="28"/>
      <c r="G4" s="28"/>
    </row>
    <row r="5" spans="1:8" ht="42" customHeight="1">
      <c r="A5" s="136" t="s">
        <v>29</v>
      </c>
      <c r="B5" s="137" t="s">
        <v>123</v>
      </c>
      <c r="C5" s="137" t="s">
        <v>125</v>
      </c>
      <c r="D5" s="137" t="s">
        <v>122</v>
      </c>
      <c r="E5" s="137" t="s">
        <v>306</v>
      </c>
      <c r="F5" s="137" t="s">
        <v>85</v>
      </c>
      <c r="G5" s="138" t="s">
        <v>121</v>
      </c>
    </row>
    <row r="6" spans="1:8">
      <c r="A6" s="45">
        <v>1</v>
      </c>
      <c r="B6" s="16"/>
      <c r="C6" s="16"/>
      <c r="D6" s="16"/>
      <c r="E6" s="16"/>
      <c r="F6" s="16"/>
      <c r="G6" s="46"/>
    </row>
    <row r="7" spans="1:8">
      <c r="A7" s="45">
        <v>2</v>
      </c>
      <c r="B7" s="16"/>
      <c r="C7" s="16"/>
      <c r="D7" s="16"/>
      <c r="E7" s="16"/>
      <c r="F7" s="16"/>
      <c r="G7" s="46"/>
    </row>
    <row r="8" spans="1:8">
      <c r="A8" s="45">
        <v>3</v>
      </c>
      <c r="B8" s="16"/>
      <c r="C8" s="16"/>
      <c r="D8" s="16"/>
      <c r="E8" s="16"/>
      <c r="F8" s="16"/>
      <c r="G8" s="46"/>
    </row>
    <row r="9" spans="1:8">
      <c r="A9" s="45">
        <v>4</v>
      </c>
      <c r="B9" s="16"/>
      <c r="C9" s="16"/>
      <c r="D9" s="16"/>
      <c r="E9" s="16"/>
      <c r="F9" s="16"/>
      <c r="G9" s="46"/>
    </row>
    <row r="10" spans="1:8">
      <c r="A10" s="45">
        <v>5</v>
      </c>
      <c r="B10" s="16"/>
      <c r="C10" s="16"/>
      <c r="D10" s="16"/>
      <c r="E10" s="16"/>
      <c r="F10" s="16"/>
      <c r="G10" s="46"/>
    </row>
    <row r="11" spans="1:8">
      <c r="A11" s="45">
        <v>6</v>
      </c>
      <c r="B11" s="16"/>
      <c r="C11" s="16"/>
      <c r="D11" s="16"/>
      <c r="E11" s="16"/>
      <c r="F11" s="16"/>
      <c r="G11" s="46"/>
    </row>
    <row r="12" spans="1:8">
      <c r="A12" s="45">
        <v>7</v>
      </c>
      <c r="B12" s="16"/>
      <c r="C12" s="16"/>
      <c r="D12" s="16"/>
      <c r="E12" s="16"/>
      <c r="F12" s="16"/>
      <c r="G12" s="46"/>
    </row>
    <row r="13" spans="1:8">
      <c r="A13" s="45">
        <v>8</v>
      </c>
      <c r="B13" s="16"/>
      <c r="C13" s="16"/>
      <c r="D13" s="16"/>
      <c r="E13" s="16"/>
      <c r="F13" s="16"/>
      <c r="G13" s="46"/>
    </row>
    <row r="14" spans="1:8">
      <c r="A14" s="45">
        <v>9</v>
      </c>
      <c r="B14" s="16"/>
      <c r="C14" s="16"/>
      <c r="D14" s="16"/>
      <c r="E14" s="16"/>
      <c r="F14" s="16"/>
      <c r="G14" s="46"/>
    </row>
    <row r="15" spans="1:8">
      <c r="A15" s="45">
        <v>10</v>
      </c>
      <c r="B15" s="16"/>
      <c r="C15" s="16"/>
      <c r="D15" s="16"/>
      <c r="E15" s="16"/>
      <c r="F15" s="16"/>
      <c r="G15" s="46"/>
    </row>
    <row r="16" spans="1:8">
      <c r="A16" s="45">
        <v>11</v>
      </c>
      <c r="B16" s="16"/>
      <c r="C16" s="16"/>
      <c r="D16" s="16"/>
      <c r="E16" s="16"/>
      <c r="F16" s="16"/>
      <c r="G16" s="46"/>
    </row>
    <row r="17" spans="1:7">
      <c r="A17" s="45">
        <v>12</v>
      </c>
      <c r="B17" s="16"/>
      <c r="C17" s="16"/>
      <c r="D17" s="16"/>
      <c r="E17" s="16"/>
      <c r="F17" s="16"/>
      <c r="G17" s="46"/>
    </row>
    <row r="18" spans="1:7">
      <c r="A18" s="45">
        <v>13</v>
      </c>
      <c r="B18" s="16"/>
      <c r="C18" s="16"/>
      <c r="D18" s="16"/>
      <c r="E18" s="16"/>
      <c r="F18" s="16"/>
      <c r="G18" s="46"/>
    </row>
    <row r="19" spans="1:7">
      <c r="A19" s="45">
        <v>14</v>
      </c>
      <c r="B19" s="16"/>
      <c r="C19" s="16"/>
      <c r="D19" s="16"/>
      <c r="E19" s="16"/>
      <c r="F19" s="16"/>
      <c r="G19" s="46"/>
    </row>
    <row r="20" spans="1:7">
      <c r="A20" s="45">
        <v>15</v>
      </c>
      <c r="B20" s="16"/>
      <c r="C20" s="16"/>
      <c r="D20" s="16"/>
      <c r="E20" s="16"/>
      <c r="F20" s="16"/>
      <c r="G20" s="46"/>
    </row>
    <row r="21" spans="1:7">
      <c r="A21" s="45">
        <v>16</v>
      </c>
      <c r="B21" s="16"/>
      <c r="C21" s="16"/>
      <c r="D21" s="16"/>
      <c r="E21" s="16"/>
      <c r="F21" s="16"/>
      <c r="G21" s="46"/>
    </row>
    <row r="22" spans="1:7">
      <c r="A22" s="45">
        <v>17</v>
      </c>
      <c r="B22" s="16"/>
      <c r="C22" s="16"/>
      <c r="D22" s="16"/>
      <c r="E22" s="16"/>
      <c r="F22" s="16"/>
      <c r="G22" s="46"/>
    </row>
    <row r="23" spans="1:7">
      <c r="A23" s="45">
        <v>18</v>
      </c>
      <c r="B23" s="16"/>
      <c r="C23" s="16"/>
      <c r="D23" s="16"/>
      <c r="E23" s="16"/>
      <c r="F23" s="16"/>
      <c r="G23" s="46"/>
    </row>
    <row r="24" spans="1:7">
      <c r="A24" s="45">
        <v>19</v>
      </c>
      <c r="B24" s="16"/>
      <c r="C24" s="16"/>
      <c r="D24" s="16"/>
      <c r="E24" s="16"/>
      <c r="F24" s="16"/>
      <c r="G24" s="46"/>
    </row>
    <row r="25" spans="1:7">
      <c r="A25" s="45">
        <v>20</v>
      </c>
      <c r="B25" s="16"/>
      <c r="C25" s="16"/>
      <c r="D25" s="16"/>
      <c r="E25" s="16"/>
      <c r="F25" s="16"/>
      <c r="G25" s="46"/>
    </row>
    <row r="26" spans="1:7">
      <c r="A26" s="45">
        <v>21</v>
      </c>
      <c r="B26" s="16"/>
      <c r="C26" s="16"/>
      <c r="D26" s="16"/>
      <c r="E26" s="16"/>
      <c r="F26" s="16"/>
      <c r="G26" s="46"/>
    </row>
    <row r="27" spans="1:7">
      <c r="A27" s="45">
        <v>22</v>
      </c>
      <c r="B27" s="16"/>
      <c r="C27" s="16"/>
      <c r="D27" s="16"/>
      <c r="E27" s="16"/>
      <c r="F27" s="16"/>
      <c r="G27" s="46"/>
    </row>
    <row r="28" spans="1:7">
      <c r="A28" s="45">
        <v>23</v>
      </c>
      <c r="B28" s="16"/>
      <c r="C28" s="16"/>
      <c r="D28" s="16"/>
      <c r="E28" s="16"/>
      <c r="F28" s="16"/>
      <c r="G28" s="46"/>
    </row>
    <row r="29" spans="1:7">
      <c r="A29" s="45">
        <v>24</v>
      </c>
      <c r="B29" s="16"/>
      <c r="C29" s="16"/>
      <c r="D29" s="16"/>
      <c r="E29" s="16"/>
      <c r="F29" s="16"/>
      <c r="G29" s="46"/>
    </row>
    <row r="30" spans="1:7">
      <c r="A30" s="45">
        <v>25</v>
      </c>
      <c r="B30" s="16"/>
      <c r="C30" s="16"/>
      <c r="D30" s="16"/>
      <c r="E30" s="16"/>
      <c r="F30" s="16"/>
      <c r="G30" s="46"/>
    </row>
    <row r="31" spans="1:7">
      <c r="A31" s="45">
        <v>26</v>
      </c>
      <c r="B31" s="16"/>
      <c r="C31" s="16"/>
      <c r="D31" s="16"/>
      <c r="E31" s="16"/>
      <c r="F31" s="16"/>
      <c r="G31" s="46"/>
    </row>
    <row r="32" spans="1:7">
      <c r="A32" s="45">
        <v>27</v>
      </c>
      <c r="B32" s="16"/>
      <c r="C32" s="16"/>
      <c r="D32" s="16"/>
      <c r="E32" s="16"/>
      <c r="F32" s="16"/>
      <c r="G32" s="46"/>
    </row>
    <row r="33" spans="1:7">
      <c r="A33" s="45">
        <v>28</v>
      </c>
      <c r="B33" s="16"/>
      <c r="C33" s="16"/>
      <c r="D33" s="16"/>
      <c r="E33" s="16"/>
      <c r="F33" s="16"/>
      <c r="G33" s="46"/>
    </row>
    <row r="34" spans="1:7">
      <c r="A34" s="45">
        <v>29</v>
      </c>
      <c r="B34" s="16"/>
      <c r="C34" s="16"/>
      <c r="D34" s="16"/>
      <c r="E34" s="16"/>
      <c r="F34" s="16"/>
      <c r="G34" s="46"/>
    </row>
    <row r="35" spans="1:7">
      <c r="A35" s="45">
        <v>30</v>
      </c>
      <c r="B35" s="16"/>
      <c r="C35" s="16"/>
      <c r="D35" s="16"/>
      <c r="E35" s="16"/>
      <c r="F35" s="16"/>
      <c r="G35" s="46"/>
    </row>
    <row r="36" spans="1:7">
      <c r="A36" s="45">
        <v>31</v>
      </c>
      <c r="B36" s="16"/>
      <c r="C36" s="16"/>
      <c r="D36" s="16"/>
      <c r="E36" s="16"/>
      <c r="F36" s="16"/>
      <c r="G36" s="46"/>
    </row>
    <row r="37" spans="1:7">
      <c r="A37" s="45">
        <v>32</v>
      </c>
      <c r="B37" s="16"/>
      <c r="C37" s="16"/>
      <c r="D37" s="16"/>
      <c r="E37" s="16"/>
      <c r="F37" s="16"/>
      <c r="G37" s="46"/>
    </row>
    <row r="38" spans="1:7">
      <c r="A38" s="45">
        <v>33</v>
      </c>
      <c r="B38" s="16"/>
      <c r="C38" s="16"/>
      <c r="D38" s="16"/>
      <c r="E38" s="16"/>
      <c r="F38" s="16"/>
      <c r="G38" s="46"/>
    </row>
    <row r="39" spans="1:7">
      <c r="A39" s="45">
        <v>34</v>
      </c>
      <c r="B39" s="16"/>
      <c r="C39" s="16"/>
      <c r="D39" s="16"/>
      <c r="E39" s="16"/>
      <c r="F39" s="16"/>
      <c r="G39" s="46"/>
    </row>
    <row r="40" spans="1:7">
      <c r="A40" s="45">
        <v>35</v>
      </c>
      <c r="B40" s="16"/>
      <c r="C40" s="16"/>
      <c r="D40" s="16"/>
      <c r="E40" s="16"/>
      <c r="F40" s="16"/>
      <c r="G40" s="46"/>
    </row>
    <row r="41" spans="1:7">
      <c r="A41" s="45">
        <v>36</v>
      </c>
      <c r="B41" s="16"/>
      <c r="C41" s="16"/>
      <c r="D41" s="16"/>
      <c r="E41" s="16"/>
      <c r="F41" s="16"/>
      <c r="G41" s="46"/>
    </row>
    <row r="42" spans="1:7">
      <c r="A42" s="45">
        <v>37</v>
      </c>
      <c r="B42" s="16"/>
      <c r="C42" s="16"/>
      <c r="D42" s="16"/>
      <c r="E42" s="16"/>
      <c r="F42" s="16"/>
      <c r="G42" s="46"/>
    </row>
    <row r="43" spans="1:7">
      <c r="A43" s="45">
        <v>38</v>
      </c>
      <c r="B43" s="16"/>
      <c r="C43" s="16"/>
      <c r="D43" s="16"/>
      <c r="E43" s="16"/>
      <c r="F43" s="16"/>
      <c r="G43" s="46"/>
    </row>
    <row r="44" spans="1:7">
      <c r="A44" s="45">
        <v>39</v>
      </c>
      <c r="B44" s="16"/>
      <c r="C44" s="16"/>
      <c r="D44" s="16"/>
      <c r="E44" s="16"/>
      <c r="F44" s="16"/>
      <c r="G44" s="46"/>
    </row>
    <row r="45" spans="1:7" ht="15" thickBot="1">
      <c r="A45" s="47">
        <v>40</v>
      </c>
      <c r="B45" s="48"/>
      <c r="C45" s="48"/>
      <c r="D45" s="48"/>
      <c r="E45" s="48"/>
      <c r="F45" s="48"/>
      <c r="G45" s="49"/>
    </row>
    <row r="46" spans="1:7">
      <c r="A46" s="28"/>
      <c r="B46" s="28"/>
      <c r="C46" s="28"/>
      <c r="D46" s="28"/>
      <c r="E46" s="28"/>
      <c r="F46" s="28"/>
      <c r="G46" s="28"/>
    </row>
    <row r="47" spans="1:7">
      <c r="A47" s="28"/>
      <c r="B47" s="28"/>
      <c r="C47" s="28"/>
      <c r="D47" s="28"/>
      <c r="E47" s="28"/>
      <c r="F47" s="28"/>
      <c r="G47" s="28"/>
    </row>
    <row r="48" spans="1:7">
      <c r="A48" s="28"/>
      <c r="B48" s="28"/>
      <c r="C48" s="28"/>
      <c r="D48" s="28"/>
      <c r="E48" s="28"/>
      <c r="F48" s="28"/>
      <c r="G48" s="28"/>
    </row>
    <row r="49" spans="1:7">
      <c r="A49" s="28"/>
      <c r="B49" s="28"/>
      <c r="C49" s="28"/>
      <c r="D49" s="28"/>
      <c r="E49" s="28"/>
      <c r="F49" s="28"/>
      <c r="G49" s="28"/>
    </row>
  </sheetData>
  <autoFilter ref="A5:G5" xr:uid="{00000000-0009-0000-0000-00000D000000}"/>
  <mergeCells count="2">
    <mergeCell ref="A1:G1"/>
    <mergeCell ref="A3:F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2"/>
  <dimension ref="A1:F49"/>
  <sheetViews>
    <sheetView zoomScaleNormal="100" workbookViewId="0">
      <selection activeCell="A5" sqref="A5:D5"/>
    </sheetView>
  </sheetViews>
  <sheetFormatPr baseColWidth="10" defaultRowHeight="14.5"/>
  <cols>
    <col min="1" max="1" width="4" style="9" customWidth="1"/>
    <col min="2" max="2" width="23.1796875" customWidth="1"/>
    <col min="3" max="3" width="68.453125" customWidth="1"/>
    <col min="4" max="4" width="15.7265625" style="31" customWidth="1"/>
  </cols>
  <sheetData>
    <row r="1" spans="1:6">
      <c r="A1" s="134" t="s">
        <v>413</v>
      </c>
      <c r="B1" s="134"/>
      <c r="C1" s="134"/>
      <c r="D1" s="126"/>
      <c r="E1" s="28"/>
      <c r="F1" s="28"/>
    </row>
    <row r="2" spans="1:6">
      <c r="A2" s="134"/>
      <c r="B2" s="134"/>
      <c r="C2" s="134"/>
      <c r="D2" s="177"/>
      <c r="E2" s="28"/>
      <c r="F2" s="28"/>
    </row>
    <row r="3" spans="1:6" ht="12.75" customHeight="1">
      <c r="A3" s="443" t="s">
        <v>311</v>
      </c>
      <c r="B3" s="443"/>
      <c r="C3" s="443"/>
      <c r="D3" s="126"/>
      <c r="E3" s="28"/>
      <c r="F3" s="28"/>
    </row>
    <row r="4" spans="1:6" ht="15" thickBot="1">
      <c r="A4" s="124"/>
      <c r="B4" s="28"/>
      <c r="C4" s="28"/>
      <c r="D4" s="126"/>
      <c r="E4" s="28"/>
      <c r="F4" s="28"/>
    </row>
    <row r="5" spans="1:6" ht="15" thickBot="1">
      <c r="A5" s="444" t="s">
        <v>152</v>
      </c>
      <c r="B5" s="445"/>
      <c r="C5" s="445"/>
      <c r="D5" s="446"/>
      <c r="E5" s="28"/>
      <c r="F5" s="28"/>
    </row>
    <row r="6" spans="1:6" ht="37.5" customHeight="1">
      <c r="A6" s="179" t="s">
        <v>29</v>
      </c>
      <c r="B6" s="180" t="s">
        <v>86</v>
      </c>
      <c r="C6" s="181" t="s">
        <v>258</v>
      </c>
      <c r="D6" s="246" t="s">
        <v>0</v>
      </c>
      <c r="E6" s="28"/>
      <c r="F6" s="28"/>
    </row>
    <row r="7" spans="1:6">
      <c r="A7" s="52">
        <v>1</v>
      </c>
      <c r="B7" s="16"/>
      <c r="C7" s="16"/>
      <c r="D7" s="50"/>
      <c r="E7" s="28"/>
      <c r="F7" s="28"/>
    </row>
    <row r="8" spans="1:6">
      <c r="A8" s="52">
        <v>2</v>
      </c>
      <c r="B8" s="16"/>
      <c r="C8" s="16"/>
      <c r="D8" s="50"/>
      <c r="E8" s="28"/>
      <c r="F8" s="28"/>
    </row>
    <row r="9" spans="1:6">
      <c r="A9" s="52">
        <v>3</v>
      </c>
      <c r="B9" s="16"/>
      <c r="C9" s="16"/>
      <c r="D9" s="50"/>
      <c r="E9" s="28"/>
      <c r="F9" s="28"/>
    </row>
    <row r="10" spans="1:6">
      <c r="A10" s="52">
        <v>4</v>
      </c>
      <c r="B10" s="16"/>
      <c r="C10" s="16"/>
      <c r="D10" s="50"/>
      <c r="E10" s="28"/>
      <c r="F10" s="28"/>
    </row>
    <row r="11" spans="1:6">
      <c r="A11" s="52">
        <v>5</v>
      </c>
      <c r="B11" s="16"/>
      <c r="C11" s="16"/>
      <c r="D11" s="50"/>
      <c r="E11" s="28"/>
      <c r="F11" s="28"/>
    </row>
    <row r="12" spans="1:6">
      <c r="A12" s="52">
        <v>6</v>
      </c>
      <c r="B12" s="16"/>
      <c r="C12" s="16"/>
      <c r="D12" s="50"/>
      <c r="E12" s="28"/>
      <c r="F12" s="28"/>
    </row>
    <row r="13" spans="1:6">
      <c r="A13" s="52">
        <v>7</v>
      </c>
      <c r="B13" s="16"/>
      <c r="C13" s="16"/>
      <c r="D13" s="50"/>
      <c r="E13" s="28"/>
      <c r="F13" s="28"/>
    </row>
    <row r="14" spans="1:6">
      <c r="A14" s="52">
        <v>8</v>
      </c>
      <c r="B14" s="16"/>
      <c r="C14" s="16"/>
      <c r="D14" s="50"/>
      <c r="E14" s="28"/>
      <c r="F14" s="28"/>
    </row>
    <row r="15" spans="1:6">
      <c r="A15" s="52">
        <v>9</v>
      </c>
      <c r="B15" s="16"/>
      <c r="C15" s="16"/>
      <c r="D15" s="50"/>
      <c r="E15" s="28"/>
      <c r="F15" s="28"/>
    </row>
    <row r="16" spans="1:6">
      <c r="A16" s="52">
        <v>10</v>
      </c>
      <c r="B16" s="16"/>
      <c r="C16" s="16"/>
      <c r="D16" s="50"/>
      <c r="E16" s="28"/>
      <c r="F16" s="28"/>
    </row>
    <row r="17" spans="1:6">
      <c r="A17" s="52">
        <v>11</v>
      </c>
      <c r="B17" s="16"/>
      <c r="C17" s="16"/>
      <c r="D17" s="50"/>
      <c r="E17" s="28"/>
      <c r="F17" s="28"/>
    </row>
    <row r="18" spans="1:6">
      <c r="A18" s="52">
        <v>12</v>
      </c>
      <c r="B18" s="16"/>
      <c r="C18" s="16"/>
      <c r="D18" s="50"/>
      <c r="E18" s="28"/>
      <c r="F18" s="28"/>
    </row>
    <row r="19" spans="1:6">
      <c r="A19" s="52">
        <v>13</v>
      </c>
      <c r="B19" s="16"/>
      <c r="C19" s="16"/>
      <c r="D19" s="50"/>
      <c r="E19" s="28"/>
      <c r="F19" s="28"/>
    </row>
    <row r="20" spans="1:6">
      <c r="A20" s="52">
        <v>14</v>
      </c>
      <c r="B20" s="16"/>
      <c r="C20" s="16"/>
      <c r="D20" s="50"/>
      <c r="E20" s="28"/>
      <c r="F20" s="28"/>
    </row>
    <row r="21" spans="1:6">
      <c r="A21" s="52">
        <v>15</v>
      </c>
      <c r="B21" s="16"/>
      <c r="C21" s="16"/>
      <c r="D21" s="50"/>
      <c r="E21" s="28"/>
      <c r="F21" s="28"/>
    </row>
    <row r="22" spans="1:6">
      <c r="A22" s="52">
        <v>16</v>
      </c>
      <c r="B22" s="16"/>
      <c r="C22" s="16"/>
      <c r="D22" s="50"/>
      <c r="E22" s="28"/>
      <c r="F22" s="28"/>
    </row>
    <row r="23" spans="1:6">
      <c r="A23" s="52">
        <v>17</v>
      </c>
      <c r="B23" s="16"/>
      <c r="C23" s="16"/>
      <c r="D23" s="50"/>
      <c r="E23" s="28"/>
      <c r="F23" s="28"/>
    </row>
    <row r="24" spans="1:6">
      <c r="A24" s="52">
        <v>18</v>
      </c>
      <c r="B24" s="16"/>
      <c r="C24" s="16"/>
      <c r="D24" s="50"/>
      <c r="E24" s="28"/>
      <c r="F24" s="28"/>
    </row>
    <row r="25" spans="1:6">
      <c r="A25" s="52">
        <v>19</v>
      </c>
      <c r="B25" s="16"/>
      <c r="C25" s="16"/>
      <c r="D25" s="50"/>
      <c r="E25" s="28"/>
      <c r="F25" s="28"/>
    </row>
    <row r="26" spans="1:6">
      <c r="A26" s="52">
        <v>20</v>
      </c>
      <c r="B26" s="16"/>
      <c r="C26" s="16"/>
      <c r="D26" s="50"/>
      <c r="E26" s="28"/>
      <c r="F26" s="28"/>
    </row>
    <row r="27" spans="1:6">
      <c r="A27" s="52">
        <v>21</v>
      </c>
      <c r="B27" s="16"/>
      <c r="C27" s="16"/>
      <c r="D27" s="50"/>
      <c r="E27" s="28"/>
      <c r="F27" s="28"/>
    </row>
    <row r="28" spans="1:6">
      <c r="A28" s="52">
        <v>22</v>
      </c>
      <c r="B28" s="16"/>
      <c r="C28" s="16"/>
      <c r="D28" s="50"/>
      <c r="E28" s="28"/>
      <c r="F28" s="28"/>
    </row>
    <row r="29" spans="1:6">
      <c r="A29" s="52">
        <v>23</v>
      </c>
      <c r="B29" s="16"/>
      <c r="C29" s="16"/>
      <c r="D29" s="50"/>
      <c r="E29" s="28"/>
      <c r="F29" s="28"/>
    </row>
    <row r="30" spans="1:6">
      <c r="A30" s="52">
        <v>24</v>
      </c>
      <c r="B30" s="16"/>
      <c r="C30" s="16"/>
      <c r="D30" s="50"/>
      <c r="E30" s="28"/>
      <c r="F30" s="28"/>
    </row>
    <row r="31" spans="1:6">
      <c r="A31" s="52">
        <v>25</v>
      </c>
      <c r="B31" s="16"/>
      <c r="C31" s="16"/>
      <c r="D31" s="50"/>
      <c r="E31" s="28"/>
      <c r="F31" s="28"/>
    </row>
    <row r="32" spans="1:6">
      <c r="A32" s="52">
        <v>26</v>
      </c>
      <c r="B32" s="16"/>
      <c r="C32" s="16"/>
      <c r="D32" s="50"/>
      <c r="E32" s="28"/>
      <c r="F32" s="28"/>
    </row>
    <row r="33" spans="1:6">
      <c r="A33" s="52">
        <v>27</v>
      </c>
      <c r="B33" s="16"/>
      <c r="C33" s="16"/>
      <c r="D33" s="50"/>
      <c r="E33" s="28"/>
      <c r="F33" s="28"/>
    </row>
    <row r="34" spans="1:6">
      <c r="A34" s="52">
        <v>28</v>
      </c>
      <c r="B34" s="16"/>
      <c r="C34" s="16"/>
      <c r="D34" s="50"/>
      <c r="E34" s="28"/>
      <c r="F34" s="28"/>
    </row>
    <row r="35" spans="1:6">
      <c r="A35" s="52">
        <v>29</v>
      </c>
      <c r="B35" s="16"/>
      <c r="C35" s="16"/>
      <c r="D35" s="50"/>
      <c r="E35" s="28"/>
      <c r="F35" s="28"/>
    </row>
    <row r="36" spans="1:6">
      <c r="A36" s="52">
        <v>30</v>
      </c>
      <c r="B36" s="16"/>
      <c r="C36" s="16"/>
      <c r="D36" s="50"/>
      <c r="E36" s="28"/>
      <c r="F36" s="28"/>
    </row>
    <row r="37" spans="1:6">
      <c r="A37" s="52">
        <v>31</v>
      </c>
      <c r="B37" s="16"/>
      <c r="C37" s="16"/>
      <c r="D37" s="50"/>
      <c r="E37" s="28"/>
      <c r="F37" s="28"/>
    </row>
    <row r="38" spans="1:6">
      <c r="A38" s="52">
        <v>32</v>
      </c>
      <c r="B38" s="16"/>
      <c r="C38" s="16"/>
      <c r="D38" s="50"/>
      <c r="E38" s="28"/>
      <c r="F38" s="28"/>
    </row>
    <row r="39" spans="1:6">
      <c r="A39" s="52">
        <v>33</v>
      </c>
      <c r="B39" s="16"/>
      <c r="C39" s="16"/>
      <c r="D39" s="50"/>
      <c r="E39" s="28"/>
      <c r="F39" s="28"/>
    </row>
    <row r="40" spans="1:6">
      <c r="A40" s="52">
        <v>34</v>
      </c>
      <c r="B40" s="16"/>
      <c r="C40" s="16"/>
      <c r="D40" s="50"/>
      <c r="E40" s="28"/>
      <c r="F40" s="28"/>
    </row>
    <row r="41" spans="1:6">
      <c r="A41" s="52">
        <v>35</v>
      </c>
      <c r="B41" s="16"/>
      <c r="C41" s="16"/>
      <c r="D41" s="50"/>
      <c r="E41" s="28"/>
      <c r="F41" s="28"/>
    </row>
    <row r="42" spans="1:6">
      <c r="A42" s="52">
        <v>36</v>
      </c>
      <c r="B42" s="16"/>
      <c r="C42" s="16"/>
      <c r="D42" s="50"/>
      <c r="E42" s="28"/>
      <c r="F42" s="28"/>
    </row>
    <row r="43" spans="1:6">
      <c r="A43" s="52">
        <v>37</v>
      </c>
      <c r="B43" s="16"/>
      <c r="C43" s="16"/>
      <c r="D43" s="50"/>
      <c r="E43" s="28"/>
      <c r="F43" s="28"/>
    </row>
    <row r="44" spans="1:6">
      <c r="A44" s="52">
        <v>38</v>
      </c>
      <c r="B44" s="16"/>
      <c r="C44" s="16"/>
      <c r="D44" s="50"/>
      <c r="E44" s="28"/>
      <c r="F44" s="28"/>
    </row>
    <row r="45" spans="1:6">
      <c r="A45" s="52">
        <v>39</v>
      </c>
      <c r="B45" s="16"/>
      <c r="C45" s="16"/>
      <c r="D45" s="50"/>
      <c r="E45" s="28"/>
      <c r="F45" s="28"/>
    </row>
    <row r="46" spans="1:6" ht="15" thickBot="1">
      <c r="A46" s="53">
        <v>40</v>
      </c>
      <c r="B46" s="48"/>
      <c r="C46" s="48"/>
      <c r="D46" s="51"/>
      <c r="E46" s="28"/>
      <c r="F46" s="28"/>
    </row>
    <row r="47" spans="1:6">
      <c r="A47" s="124"/>
      <c r="B47" s="28"/>
      <c r="C47" s="28"/>
      <c r="D47" s="126"/>
      <c r="E47" s="28"/>
      <c r="F47" s="28"/>
    </row>
    <row r="48" spans="1:6">
      <c r="A48" s="124"/>
      <c r="B48" s="28"/>
      <c r="C48" s="28"/>
      <c r="D48" s="126"/>
      <c r="E48" s="28"/>
      <c r="F48" s="28"/>
    </row>
    <row r="49" spans="1:4">
      <c r="A49" s="124"/>
      <c r="B49" s="28"/>
      <c r="C49" s="28"/>
      <c r="D49" s="126"/>
    </row>
  </sheetData>
  <autoFilter ref="A6:D6" xr:uid="{00000000-0009-0000-0000-00000E000000}"/>
  <mergeCells count="2">
    <mergeCell ref="A3:C3"/>
    <mergeCell ref="A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3"/>
  <dimension ref="A1:K61"/>
  <sheetViews>
    <sheetView zoomScaleNormal="100" workbookViewId="0">
      <selection activeCell="A5" sqref="A5:H5"/>
    </sheetView>
  </sheetViews>
  <sheetFormatPr baseColWidth="10" defaultRowHeight="14.5"/>
  <cols>
    <col min="1" max="1" width="5.26953125" customWidth="1"/>
    <col min="2" max="2" width="18.1796875" customWidth="1"/>
    <col min="3" max="3" width="19.1796875" customWidth="1"/>
    <col min="4" max="4" width="20" customWidth="1"/>
    <col min="5" max="8" width="14.26953125" customWidth="1"/>
  </cols>
  <sheetData>
    <row r="1" spans="1:11">
      <c r="A1" s="134" t="s">
        <v>414</v>
      </c>
      <c r="B1" s="28"/>
      <c r="C1" s="28"/>
      <c r="D1" s="28"/>
      <c r="E1" s="28"/>
      <c r="F1" s="28"/>
      <c r="G1" s="28"/>
      <c r="H1" s="28"/>
      <c r="I1" s="28"/>
      <c r="J1" s="28"/>
      <c r="K1" s="28"/>
    </row>
    <row r="2" spans="1:11" ht="11.25" customHeight="1">
      <c r="A2" s="28"/>
      <c r="B2" s="28"/>
      <c r="C2" s="28"/>
      <c r="D2" s="28"/>
      <c r="E2" s="28"/>
      <c r="F2" s="28"/>
      <c r="G2" s="28"/>
      <c r="H2" s="28"/>
      <c r="I2" s="28"/>
      <c r="J2" s="28"/>
      <c r="K2" s="28"/>
    </row>
    <row r="3" spans="1:11" ht="29.25" customHeight="1">
      <c r="A3" s="443" t="s">
        <v>312</v>
      </c>
      <c r="B3" s="443"/>
      <c r="C3" s="443"/>
      <c r="D3" s="443"/>
      <c r="E3" s="443"/>
      <c r="F3" s="443"/>
      <c r="G3" s="443"/>
      <c r="H3" s="28"/>
      <c r="I3" s="28"/>
      <c r="J3" s="28"/>
      <c r="K3" s="28"/>
    </row>
    <row r="4" spans="1:11" ht="15" thickBot="1">
      <c r="A4" s="28"/>
      <c r="B4" s="28"/>
      <c r="C4" s="28"/>
      <c r="D4" s="28"/>
      <c r="E4" s="28"/>
      <c r="F4" s="28"/>
      <c r="G4" s="28"/>
      <c r="H4" s="28"/>
      <c r="I4" s="28"/>
      <c r="J4" s="28"/>
      <c r="K4" s="28"/>
    </row>
    <row r="5" spans="1:11" s="57" customFormat="1" ht="16" thickBot="1">
      <c r="A5" s="447" t="s">
        <v>153</v>
      </c>
      <c r="B5" s="448"/>
      <c r="C5" s="448"/>
      <c r="D5" s="448"/>
      <c r="E5" s="448"/>
      <c r="F5" s="448"/>
      <c r="G5" s="448"/>
      <c r="H5" s="449"/>
      <c r="I5" s="135"/>
      <c r="J5" s="135"/>
    </row>
    <row r="6" spans="1:11" ht="43.5">
      <c r="A6" s="60" t="s">
        <v>29</v>
      </c>
      <c r="B6" s="2" t="s">
        <v>30</v>
      </c>
      <c r="C6" s="2" t="s">
        <v>31</v>
      </c>
      <c r="D6" s="2" t="s">
        <v>32</v>
      </c>
      <c r="E6" s="2" t="s">
        <v>33</v>
      </c>
      <c r="F6" s="2" t="s">
        <v>34</v>
      </c>
      <c r="G6" s="2" t="s">
        <v>35</v>
      </c>
      <c r="H6" s="247" t="s">
        <v>0</v>
      </c>
      <c r="I6" s="28"/>
      <c r="J6" s="28"/>
    </row>
    <row r="7" spans="1:11">
      <c r="A7" s="52">
        <v>1</v>
      </c>
      <c r="B7" s="16"/>
      <c r="C7" s="16"/>
      <c r="D7" s="16"/>
      <c r="E7" s="16"/>
      <c r="F7" s="16"/>
      <c r="G7" s="16"/>
      <c r="H7" s="46"/>
      <c r="I7" s="28"/>
      <c r="J7" s="28"/>
    </row>
    <row r="8" spans="1:11">
      <c r="A8" s="52">
        <v>2</v>
      </c>
      <c r="B8" s="16"/>
      <c r="C8" s="16"/>
      <c r="D8" s="16"/>
      <c r="E8" s="16"/>
      <c r="F8" s="16"/>
      <c r="G8" s="16"/>
      <c r="H8" s="46"/>
      <c r="I8" s="28"/>
      <c r="J8" s="28"/>
    </row>
    <row r="9" spans="1:11">
      <c r="A9" s="52">
        <v>3</v>
      </c>
      <c r="B9" s="16"/>
      <c r="C9" s="16"/>
      <c r="D9" s="16"/>
      <c r="E9" s="16"/>
      <c r="F9" s="16"/>
      <c r="G9" s="16"/>
      <c r="H9" s="46"/>
      <c r="I9" s="28"/>
      <c r="J9" s="28"/>
    </row>
    <row r="10" spans="1:11">
      <c r="A10" s="52">
        <v>4</v>
      </c>
      <c r="B10" s="16"/>
      <c r="C10" s="16"/>
      <c r="D10" s="16"/>
      <c r="E10" s="16"/>
      <c r="F10" s="16"/>
      <c r="G10" s="16"/>
      <c r="H10" s="46"/>
      <c r="I10" s="28"/>
      <c r="J10" s="28"/>
    </row>
    <row r="11" spans="1:11">
      <c r="A11" s="52">
        <v>5</v>
      </c>
      <c r="B11" s="16"/>
      <c r="C11" s="16"/>
      <c r="D11" s="16"/>
      <c r="E11" s="16"/>
      <c r="F11" s="16"/>
      <c r="G11" s="16"/>
      <c r="H11" s="46"/>
      <c r="I11" s="28"/>
      <c r="J11" s="28"/>
    </row>
    <row r="12" spans="1:11">
      <c r="A12" s="52">
        <v>6</v>
      </c>
      <c r="B12" s="16"/>
      <c r="C12" s="16"/>
      <c r="D12" s="16"/>
      <c r="E12" s="16"/>
      <c r="F12" s="16"/>
      <c r="G12" s="16"/>
      <c r="H12" s="46"/>
      <c r="I12" s="28"/>
      <c r="J12" s="28"/>
    </row>
    <row r="13" spans="1:11">
      <c r="A13" s="52">
        <v>7</v>
      </c>
      <c r="B13" s="16"/>
      <c r="C13" s="16"/>
      <c r="D13" s="16"/>
      <c r="E13" s="16"/>
      <c r="F13" s="16"/>
      <c r="G13" s="16"/>
      <c r="H13" s="46"/>
      <c r="I13" s="28"/>
      <c r="J13" s="28"/>
    </row>
    <row r="14" spans="1:11">
      <c r="A14" s="52">
        <v>8</v>
      </c>
      <c r="B14" s="16"/>
      <c r="C14" s="16"/>
      <c r="D14" s="16"/>
      <c r="E14" s="16"/>
      <c r="F14" s="16"/>
      <c r="G14" s="16"/>
      <c r="H14" s="46"/>
      <c r="I14" s="28"/>
      <c r="J14" s="28"/>
    </row>
    <row r="15" spans="1:11">
      <c r="A15" s="52">
        <v>9</v>
      </c>
      <c r="B15" s="16"/>
      <c r="C15" s="16"/>
      <c r="D15" s="16"/>
      <c r="E15" s="16"/>
      <c r="F15" s="16"/>
      <c r="G15" s="16"/>
      <c r="H15" s="46"/>
      <c r="I15" s="28"/>
      <c r="J15" s="28"/>
    </row>
    <row r="16" spans="1:11">
      <c r="A16" s="52">
        <v>10</v>
      </c>
      <c r="B16" s="16"/>
      <c r="C16" s="16"/>
      <c r="D16" s="16"/>
      <c r="E16" s="16"/>
      <c r="F16" s="16"/>
      <c r="G16" s="16"/>
      <c r="H16" s="46"/>
      <c r="I16" s="28"/>
      <c r="J16" s="28"/>
    </row>
    <row r="17" spans="1:10">
      <c r="A17" s="52">
        <v>11</v>
      </c>
      <c r="B17" s="16"/>
      <c r="C17" s="16"/>
      <c r="D17" s="16"/>
      <c r="E17" s="16"/>
      <c r="F17" s="16"/>
      <c r="G17" s="16"/>
      <c r="H17" s="46"/>
      <c r="I17" s="28"/>
      <c r="J17" s="28"/>
    </row>
    <row r="18" spans="1:10">
      <c r="A18" s="52">
        <v>12</v>
      </c>
      <c r="B18" s="16"/>
      <c r="C18" s="16"/>
      <c r="D18" s="16"/>
      <c r="E18" s="16"/>
      <c r="F18" s="16"/>
      <c r="G18" s="16"/>
      <c r="H18" s="46"/>
      <c r="I18" s="28"/>
      <c r="J18" s="28"/>
    </row>
    <row r="19" spans="1:10">
      <c r="A19" s="52">
        <v>13</v>
      </c>
      <c r="B19" s="16"/>
      <c r="C19" s="16"/>
      <c r="D19" s="16"/>
      <c r="E19" s="16"/>
      <c r="F19" s="16"/>
      <c r="G19" s="16"/>
      <c r="H19" s="46"/>
      <c r="I19" s="28"/>
      <c r="J19" s="28"/>
    </row>
    <row r="20" spans="1:10">
      <c r="A20" s="52">
        <v>14</v>
      </c>
      <c r="B20" s="16"/>
      <c r="C20" s="16"/>
      <c r="D20" s="16"/>
      <c r="E20" s="16"/>
      <c r="F20" s="16"/>
      <c r="G20" s="16"/>
      <c r="H20" s="46"/>
      <c r="I20" s="28"/>
      <c r="J20" s="28"/>
    </row>
    <row r="21" spans="1:10">
      <c r="A21" s="52">
        <v>15</v>
      </c>
      <c r="B21" s="16"/>
      <c r="C21" s="16"/>
      <c r="D21" s="16"/>
      <c r="E21" s="16"/>
      <c r="F21" s="16"/>
      <c r="G21" s="16"/>
      <c r="H21" s="46"/>
      <c r="I21" s="28"/>
      <c r="J21" s="28"/>
    </row>
    <row r="22" spans="1:10">
      <c r="A22" s="52">
        <v>16</v>
      </c>
      <c r="B22" s="16"/>
      <c r="C22" s="16"/>
      <c r="D22" s="16"/>
      <c r="E22" s="16"/>
      <c r="F22" s="16"/>
      <c r="G22" s="16"/>
      <c r="H22" s="46"/>
      <c r="I22" s="28"/>
      <c r="J22" s="28"/>
    </row>
    <row r="23" spans="1:10">
      <c r="A23" s="52">
        <v>17</v>
      </c>
      <c r="B23" s="16"/>
      <c r="C23" s="16"/>
      <c r="D23" s="16"/>
      <c r="E23" s="16"/>
      <c r="F23" s="16"/>
      <c r="G23" s="16"/>
      <c r="H23" s="46"/>
      <c r="I23" s="28"/>
      <c r="J23" s="28"/>
    </row>
    <row r="24" spans="1:10">
      <c r="A24" s="52">
        <v>18</v>
      </c>
      <c r="B24" s="16"/>
      <c r="C24" s="16"/>
      <c r="D24" s="16"/>
      <c r="E24" s="16"/>
      <c r="F24" s="16"/>
      <c r="G24" s="16"/>
      <c r="H24" s="46"/>
      <c r="I24" s="28"/>
      <c r="J24" s="28"/>
    </row>
    <row r="25" spans="1:10">
      <c r="A25" s="52">
        <v>19</v>
      </c>
      <c r="B25" s="16"/>
      <c r="C25" s="16"/>
      <c r="D25" s="16"/>
      <c r="E25" s="16"/>
      <c r="F25" s="16"/>
      <c r="G25" s="16"/>
      <c r="H25" s="46"/>
      <c r="I25" s="28"/>
      <c r="J25" s="28"/>
    </row>
    <row r="26" spans="1:10">
      <c r="A26" s="52">
        <v>20</v>
      </c>
      <c r="B26" s="16"/>
      <c r="C26" s="16"/>
      <c r="D26" s="16"/>
      <c r="E26" s="16"/>
      <c r="F26" s="16"/>
      <c r="G26" s="16"/>
      <c r="H26" s="46"/>
      <c r="I26" s="28"/>
      <c r="J26" s="28"/>
    </row>
    <row r="27" spans="1:10">
      <c r="A27" s="52">
        <v>21</v>
      </c>
      <c r="B27" s="16"/>
      <c r="C27" s="16"/>
      <c r="D27" s="16"/>
      <c r="E27" s="16"/>
      <c r="F27" s="16"/>
      <c r="G27" s="16"/>
      <c r="H27" s="46"/>
      <c r="I27" s="28"/>
      <c r="J27" s="28"/>
    </row>
    <row r="28" spans="1:10">
      <c r="A28" s="52">
        <v>22</v>
      </c>
      <c r="B28" s="16"/>
      <c r="C28" s="16"/>
      <c r="D28" s="16"/>
      <c r="E28" s="16"/>
      <c r="F28" s="16"/>
      <c r="G28" s="16"/>
      <c r="H28" s="46"/>
      <c r="I28" s="28"/>
      <c r="J28" s="28"/>
    </row>
    <row r="29" spans="1:10">
      <c r="A29" s="52">
        <v>23</v>
      </c>
      <c r="B29" s="16"/>
      <c r="C29" s="16"/>
      <c r="D29" s="16"/>
      <c r="E29" s="16"/>
      <c r="F29" s="16"/>
      <c r="G29" s="16"/>
      <c r="H29" s="46"/>
      <c r="I29" s="28"/>
      <c r="J29" s="28"/>
    </row>
    <row r="30" spans="1:10">
      <c r="A30" s="52">
        <v>24</v>
      </c>
      <c r="B30" s="16"/>
      <c r="C30" s="16"/>
      <c r="D30" s="16"/>
      <c r="E30" s="16"/>
      <c r="F30" s="16"/>
      <c r="G30" s="16"/>
      <c r="H30" s="46"/>
      <c r="I30" s="28"/>
      <c r="J30" s="28"/>
    </row>
    <row r="31" spans="1:10">
      <c r="A31" s="52">
        <v>25</v>
      </c>
      <c r="B31" s="16"/>
      <c r="C31" s="16"/>
      <c r="D31" s="16"/>
      <c r="E31" s="16"/>
      <c r="F31" s="16"/>
      <c r="G31" s="16"/>
      <c r="H31" s="46"/>
      <c r="I31" s="28"/>
      <c r="J31" s="28"/>
    </row>
    <row r="32" spans="1:10">
      <c r="A32" s="52">
        <v>26</v>
      </c>
      <c r="B32" s="16"/>
      <c r="C32" s="16"/>
      <c r="D32" s="16"/>
      <c r="E32" s="16"/>
      <c r="F32" s="16"/>
      <c r="G32" s="16"/>
      <c r="H32" s="46"/>
      <c r="I32" s="28"/>
      <c r="J32" s="28"/>
    </row>
    <row r="33" spans="1:10">
      <c r="A33" s="52">
        <v>27</v>
      </c>
      <c r="B33" s="16"/>
      <c r="C33" s="16"/>
      <c r="D33" s="16"/>
      <c r="E33" s="16"/>
      <c r="F33" s="16"/>
      <c r="G33" s="16"/>
      <c r="H33" s="46"/>
      <c r="I33" s="28"/>
      <c r="J33" s="28"/>
    </row>
    <row r="34" spans="1:10">
      <c r="A34" s="52">
        <v>28</v>
      </c>
      <c r="B34" s="16"/>
      <c r="C34" s="16"/>
      <c r="D34" s="16"/>
      <c r="E34" s="16"/>
      <c r="F34" s="16"/>
      <c r="G34" s="16"/>
      <c r="H34" s="46"/>
      <c r="I34" s="28"/>
      <c r="J34" s="28"/>
    </row>
    <row r="35" spans="1:10">
      <c r="A35" s="52">
        <v>29</v>
      </c>
      <c r="B35" s="16"/>
      <c r="C35" s="16"/>
      <c r="D35" s="16"/>
      <c r="E35" s="16"/>
      <c r="F35" s="16"/>
      <c r="G35" s="16"/>
      <c r="H35" s="46"/>
      <c r="I35" s="28"/>
      <c r="J35" s="28"/>
    </row>
    <row r="36" spans="1:10">
      <c r="A36" s="52">
        <v>30</v>
      </c>
      <c r="B36" s="16"/>
      <c r="C36" s="16"/>
      <c r="D36" s="16"/>
      <c r="E36" s="16"/>
      <c r="F36" s="16"/>
      <c r="G36" s="16"/>
      <c r="H36" s="46"/>
      <c r="I36" s="28"/>
      <c r="J36" s="28"/>
    </row>
    <row r="37" spans="1:10">
      <c r="A37" s="52">
        <v>31</v>
      </c>
      <c r="B37" s="16"/>
      <c r="C37" s="16"/>
      <c r="D37" s="16"/>
      <c r="E37" s="16"/>
      <c r="F37" s="16"/>
      <c r="G37" s="16"/>
      <c r="H37" s="46"/>
      <c r="I37" s="28"/>
      <c r="J37" s="28"/>
    </row>
    <row r="38" spans="1:10">
      <c r="A38" s="52">
        <v>32</v>
      </c>
      <c r="B38" s="16"/>
      <c r="C38" s="16"/>
      <c r="D38" s="16"/>
      <c r="E38" s="16"/>
      <c r="F38" s="16"/>
      <c r="G38" s="16"/>
      <c r="H38" s="46"/>
      <c r="I38" s="28"/>
      <c r="J38" s="28"/>
    </row>
    <row r="39" spans="1:10">
      <c r="A39" s="52">
        <v>33</v>
      </c>
      <c r="B39" s="16"/>
      <c r="C39" s="16"/>
      <c r="D39" s="16"/>
      <c r="E39" s="16"/>
      <c r="F39" s="16"/>
      <c r="G39" s="16"/>
      <c r="H39" s="46"/>
      <c r="I39" s="28"/>
      <c r="J39" s="28"/>
    </row>
    <row r="40" spans="1:10">
      <c r="A40" s="52">
        <v>34</v>
      </c>
      <c r="B40" s="16"/>
      <c r="C40" s="16"/>
      <c r="D40" s="16"/>
      <c r="E40" s="16"/>
      <c r="F40" s="16"/>
      <c r="G40" s="16"/>
      <c r="H40" s="46"/>
      <c r="I40" s="28"/>
      <c r="J40" s="28"/>
    </row>
    <row r="41" spans="1:10">
      <c r="A41" s="52">
        <v>35</v>
      </c>
      <c r="B41" s="16"/>
      <c r="C41" s="16"/>
      <c r="D41" s="16"/>
      <c r="E41" s="16"/>
      <c r="F41" s="16"/>
      <c r="G41" s="16"/>
      <c r="H41" s="46"/>
      <c r="I41" s="28"/>
      <c r="J41" s="28"/>
    </row>
    <row r="42" spans="1:10">
      <c r="A42" s="52">
        <v>36</v>
      </c>
      <c r="B42" s="16"/>
      <c r="C42" s="16"/>
      <c r="D42" s="16"/>
      <c r="E42" s="16"/>
      <c r="F42" s="16"/>
      <c r="G42" s="16"/>
      <c r="H42" s="46"/>
      <c r="I42" s="28"/>
      <c r="J42" s="28"/>
    </row>
    <row r="43" spans="1:10">
      <c r="A43" s="52">
        <v>37</v>
      </c>
      <c r="B43" s="16"/>
      <c r="C43" s="16"/>
      <c r="D43" s="16"/>
      <c r="E43" s="16"/>
      <c r="F43" s="16"/>
      <c r="G43" s="16"/>
      <c r="H43" s="46"/>
      <c r="I43" s="28"/>
      <c r="J43" s="28"/>
    </row>
    <row r="44" spans="1:10">
      <c r="A44" s="52">
        <v>38</v>
      </c>
      <c r="B44" s="16"/>
      <c r="C44" s="16"/>
      <c r="D44" s="16"/>
      <c r="E44" s="16"/>
      <c r="F44" s="16"/>
      <c r="G44" s="16"/>
      <c r="H44" s="46"/>
      <c r="I44" s="28"/>
      <c r="J44" s="28"/>
    </row>
    <row r="45" spans="1:10">
      <c r="A45" s="52">
        <v>39</v>
      </c>
      <c r="B45" s="16"/>
      <c r="C45" s="16"/>
      <c r="D45" s="16"/>
      <c r="E45" s="16"/>
      <c r="F45" s="16"/>
      <c r="G45" s="16"/>
      <c r="H45" s="46"/>
      <c r="I45" s="28"/>
      <c r="J45" s="28"/>
    </row>
    <row r="46" spans="1:10">
      <c r="A46" s="52">
        <v>40</v>
      </c>
      <c r="B46" s="16"/>
      <c r="C46" s="16"/>
      <c r="D46" s="16"/>
      <c r="E46" s="16"/>
      <c r="F46" s="16"/>
      <c r="G46" s="16"/>
      <c r="H46" s="46"/>
      <c r="I46" s="28"/>
      <c r="J46" s="28"/>
    </row>
    <row r="47" spans="1:10">
      <c r="A47" s="52">
        <v>41</v>
      </c>
      <c r="B47" s="16"/>
      <c r="C47" s="16"/>
      <c r="D47" s="16"/>
      <c r="E47" s="16"/>
      <c r="F47" s="16"/>
      <c r="G47" s="16"/>
      <c r="H47" s="46"/>
      <c r="I47" s="28"/>
      <c r="J47" s="28"/>
    </row>
    <row r="48" spans="1:10">
      <c r="A48" s="52">
        <v>42</v>
      </c>
      <c r="B48" s="16"/>
      <c r="C48" s="16"/>
      <c r="D48" s="16"/>
      <c r="E48" s="16"/>
      <c r="F48" s="16"/>
      <c r="G48" s="16"/>
      <c r="H48" s="46"/>
      <c r="I48" s="28"/>
      <c r="J48" s="28"/>
    </row>
    <row r="49" spans="1:10">
      <c r="A49" s="52">
        <v>43</v>
      </c>
      <c r="B49" s="16"/>
      <c r="C49" s="16"/>
      <c r="D49" s="16"/>
      <c r="E49" s="16"/>
      <c r="F49" s="16"/>
      <c r="G49" s="16"/>
      <c r="H49" s="46"/>
      <c r="I49" s="28"/>
      <c r="J49" s="28"/>
    </row>
    <row r="50" spans="1:10">
      <c r="A50" s="52">
        <v>44</v>
      </c>
      <c r="B50" s="16"/>
      <c r="C50" s="16"/>
      <c r="D50" s="16"/>
      <c r="E50" s="16"/>
      <c r="F50" s="16"/>
      <c r="G50" s="16"/>
      <c r="H50" s="46"/>
      <c r="I50" s="28"/>
      <c r="J50" s="28"/>
    </row>
    <row r="51" spans="1:10">
      <c r="A51" s="52">
        <v>45</v>
      </c>
      <c r="B51" s="16"/>
      <c r="C51" s="16"/>
      <c r="D51" s="16"/>
      <c r="E51" s="16"/>
      <c r="F51" s="16"/>
      <c r="G51" s="16"/>
      <c r="H51" s="46"/>
      <c r="I51" s="28"/>
      <c r="J51" s="28"/>
    </row>
    <row r="52" spans="1:10">
      <c r="A52" s="52">
        <v>46</v>
      </c>
      <c r="B52" s="16"/>
      <c r="C52" s="16"/>
      <c r="D52" s="16"/>
      <c r="E52" s="16"/>
      <c r="F52" s="16"/>
      <c r="G52" s="16"/>
      <c r="H52" s="46"/>
      <c r="I52" s="28"/>
      <c r="J52" s="28"/>
    </row>
    <row r="53" spans="1:10">
      <c r="A53" s="52">
        <v>47</v>
      </c>
      <c r="B53" s="16"/>
      <c r="C53" s="16"/>
      <c r="D53" s="16"/>
      <c r="E53" s="16"/>
      <c r="F53" s="16"/>
      <c r="G53" s="16"/>
      <c r="H53" s="46"/>
      <c r="I53" s="28"/>
      <c r="J53" s="28"/>
    </row>
    <row r="54" spans="1:10">
      <c r="A54" s="52">
        <v>48</v>
      </c>
      <c r="B54" s="16"/>
      <c r="C54" s="16"/>
      <c r="D54" s="16"/>
      <c r="E54" s="16"/>
      <c r="F54" s="16"/>
      <c r="G54" s="16"/>
      <c r="H54" s="46"/>
      <c r="I54" s="28"/>
      <c r="J54" s="28"/>
    </row>
    <row r="55" spans="1:10">
      <c r="A55" s="52">
        <v>49</v>
      </c>
      <c r="B55" s="16"/>
      <c r="C55" s="16"/>
      <c r="D55" s="16"/>
      <c r="E55" s="16"/>
      <c r="F55" s="16"/>
      <c r="G55" s="16"/>
      <c r="H55" s="46"/>
      <c r="I55" s="28"/>
      <c r="J55" s="28"/>
    </row>
    <row r="56" spans="1:10" ht="15" thickBot="1">
      <c r="A56" s="53">
        <v>50</v>
      </c>
      <c r="B56" s="48"/>
      <c r="C56" s="48"/>
      <c r="D56" s="48"/>
      <c r="E56" s="48"/>
      <c r="F56" s="48"/>
      <c r="G56" s="48"/>
      <c r="H56" s="49"/>
      <c r="I56" s="28"/>
      <c r="J56" s="28"/>
    </row>
    <row r="57" spans="1:10">
      <c r="A57" s="28"/>
      <c r="B57" s="28"/>
      <c r="C57" s="28"/>
      <c r="D57" s="28"/>
      <c r="E57" s="28"/>
      <c r="F57" s="28"/>
      <c r="G57" s="28"/>
      <c r="H57" s="28"/>
      <c r="I57" s="28"/>
      <c r="J57" s="28"/>
    </row>
    <row r="58" spans="1:10">
      <c r="A58" s="28"/>
      <c r="B58" s="28"/>
      <c r="C58" s="28"/>
      <c r="D58" s="28"/>
      <c r="E58" s="28"/>
      <c r="F58" s="28"/>
      <c r="G58" s="28"/>
      <c r="H58" s="28"/>
      <c r="I58" s="28"/>
      <c r="J58" s="28"/>
    </row>
    <row r="59" spans="1:10">
      <c r="A59" s="28"/>
      <c r="B59" s="28"/>
      <c r="C59" s="28"/>
      <c r="D59" s="28"/>
      <c r="E59" s="28"/>
      <c r="F59" s="28"/>
      <c r="G59" s="28"/>
      <c r="H59" s="28"/>
      <c r="I59" s="28"/>
      <c r="J59" s="28"/>
    </row>
    <row r="60" spans="1:10">
      <c r="A60" s="28"/>
      <c r="B60" s="28"/>
      <c r="C60" s="28"/>
      <c r="D60" s="28"/>
      <c r="E60" s="28"/>
      <c r="F60" s="28"/>
      <c r="G60" s="28"/>
      <c r="H60" s="28"/>
      <c r="I60" s="28"/>
      <c r="J60" s="28"/>
    </row>
    <row r="61" spans="1:10">
      <c r="A61" s="28"/>
      <c r="B61" s="28"/>
      <c r="C61" s="28"/>
      <c r="D61" s="28"/>
      <c r="E61" s="28"/>
      <c r="F61" s="28"/>
      <c r="G61" s="28"/>
      <c r="H61" s="28"/>
    </row>
  </sheetData>
  <autoFilter ref="A6:H6" xr:uid="{00000000-0009-0000-0000-00000F000000}"/>
  <mergeCells count="2">
    <mergeCell ref="A3:G3"/>
    <mergeCell ref="A5:H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4"/>
  <dimension ref="A1:AA63"/>
  <sheetViews>
    <sheetView zoomScaleNormal="100" workbookViewId="0">
      <selection sqref="A1:AA1"/>
    </sheetView>
  </sheetViews>
  <sheetFormatPr baseColWidth="10" defaultRowHeight="14.5"/>
  <cols>
    <col min="1" max="1" width="3.81640625" customWidth="1"/>
    <col min="2" max="2" width="10.7265625" customWidth="1"/>
    <col min="3" max="9" width="17.453125" customWidth="1"/>
    <col min="10" max="10" width="17" customWidth="1"/>
    <col min="11" max="14" width="17.453125" customWidth="1"/>
    <col min="15" max="15" width="22.453125" customWidth="1"/>
    <col min="16" max="16" width="17.453125" customWidth="1"/>
    <col min="17" max="17" width="9.453125" customWidth="1"/>
    <col min="18" max="18" width="10.1796875" customWidth="1"/>
    <col min="19" max="19" width="16.1796875" bestFit="1" customWidth="1"/>
    <col min="20" max="20" width="9.453125" customWidth="1"/>
    <col min="21" max="21" width="17.453125" customWidth="1"/>
    <col min="22" max="22" width="17.1796875" customWidth="1"/>
    <col min="23" max="23" width="40.26953125" customWidth="1"/>
    <col min="24" max="24" width="20.453125" customWidth="1"/>
    <col min="25" max="25" width="32.81640625" customWidth="1"/>
    <col min="26" max="26" width="33.81640625" customWidth="1"/>
    <col min="27" max="27" width="17.453125" customWidth="1"/>
  </cols>
  <sheetData>
    <row r="1" spans="1:27">
      <c r="A1" s="450" t="s">
        <v>403</v>
      </c>
      <c r="B1" s="450"/>
      <c r="C1" s="450"/>
      <c r="D1" s="450"/>
      <c r="E1" s="450"/>
      <c r="F1" s="450"/>
      <c r="G1" s="450"/>
      <c r="H1" s="450"/>
      <c r="I1" s="450"/>
      <c r="J1" s="450"/>
      <c r="K1" s="450"/>
      <c r="L1" s="450"/>
      <c r="M1" s="450"/>
      <c r="N1" s="450"/>
      <c r="O1" s="450"/>
      <c r="P1" s="450"/>
      <c r="Q1" s="450"/>
      <c r="R1" s="450"/>
      <c r="S1" s="450"/>
      <c r="T1" s="450"/>
      <c r="U1" s="450"/>
      <c r="V1" s="450"/>
      <c r="W1" s="450"/>
      <c r="X1" s="450"/>
      <c r="Y1" s="450"/>
      <c r="Z1" s="450"/>
      <c r="AA1" s="450"/>
    </row>
    <row r="2" spans="1:27" ht="17.25" customHeight="1">
      <c r="A2" s="28"/>
      <c r="B2" s="28"/>
      <c r="C2" s="28"/>
      <c r="D2" s="28"/>
      <c r="E2" s="28"/>
      <c r="F2" s="28"/>
      <c r="G2" s="28"/>
      <c r="H2" s="28"/>
      <c r="I2" s="28"/>
      <c r="J2" s="28"/>
      <c r="K2" s="28"/>
      <c r="L2" s="28"/>
      <c r="M2" s="28"/>
      <c r="N2" s="28"/>
      <c r="O2" s="28"/>
      <c r="P2" s="28"/>
      <c r="Q2" s="28"/>
      <c r="R2" s="28"/>
      <c r="S2" s="28"/>
      <c r="T2" s="28"/>
      <c r="U2" s="28"/>
      <c r="V2" s="28"/>
      <c r="W2" s="28"/>
      <c r="X2" s="28"/>
      <c r="Y2" s="28"/>
      <c r="Z2" s="28"/>
      <c r="AA2" s="28"/>
    </row>
    <row r="3" spans="1:27" ht="47.25" customHeight="1">
      <c r="A3" s="361" t="s">
        <v>486</v>
      </c>
      <c r="B3" s="361"/>
      <c r="C3" s="361"/>
      <c r="D3" s="361"/>
      <c r="E3" s="361"/>
      <c r="F3" s="361"/>
      <c r="G3" s="361"/>
      <c r="H3" s="28"/>
      <c r="I3" s="28"/>
      <c r="J3" s="28"/>
      <c r="K3" s="28"/>
      <c r="L3" s="28"/>
      <c r="M3" s="28"/>
      <c r="N3" s="28"/>
      <c r="O3" s="28"/>
      <c r="P3" s="28"/>
      <c r="Q3" s="28"/>
      <c r="R3" s="28"/>
      <c r="S3" s="28"/>
      <c r="T3" s="28"/>
      <c r="U3" s="28"/>
      <c r="V3" s="28"/>
      <c r="W3" s="28"/>
      <c r="X3" s="28"/>
      <c r="Y3" s="28"/>
      <c r="Z3" s="28"/>
      <c r="AA3" s="28"/>
    </row>
    <row r="4" spans="1:27" ht="15" thickBot="1">
      <c r="A4" s="28"/>
      <c r="B4" s="28"/>
      <c r="C4" s="28"/>
      <c r="D4" s="28"/>
      <c r="E4" s="28"/>
      <c r="F4" s="28"/>
      <c r="G4" s="28"/>
      <c r="H4" s="28"/>
      <c r="I4" s="28"/>
      <c r="J4" s="28"/>
      <c r="K4" s="28"/>
      <c r="L4" s="28"/>
      <c r="M4" s="28"/>
      <c r="N4" s="28"/>
      <c r="O4" s="28"/>
      <c r="P4" s="28"/>
      <c r="Q4" s="28"/>
      <c r="R4" s="28"/>
      <c r="S4" s="28"/>
      <c r="T4" s="28"/>
      <c r="U4" s="28"/>
      <c r="V4" s="28"/>
      <c r="W4" s="28"/>
      <c r="X4" s="28"/>
      <c r="Y4" s="28"/>
      <c r="Z4" s="28"/>
      <c r="AA4" s="28"/>
    </row>
    <row r="5" spans="1:27" ht="26.15" customHeight="1" thickBot="1">
      <c r="A5" s="28"/>
      <c r="B5" s="28"/>
      <c r="C5" s="454" t="s">
        <v>173</v>
      </c>
      <c r="D5" s="455"/>
      <c r="E5" s="451" t="s">
        <v>259</v>
      </c>
      <c r="F5" s="452"/>
      <c r="G5" s="452"/>
      <c r="H5" s="452"/>
      <c r="I5" s="452"/>
      <c r="J5" s="453"/>
      <c r="K5" s="28"/>
      <c r="L5" s="28"/>
      <c r="M5" s="28"/>
      <c r="N5" s="28"/>
      <c r="O5" s="28"/>
      <c r="P5" s="28"/>
      <c r="Q5" s="456" t="s">
        <v>131</v>
      </c>
      <c r="R5" s="457"/>
      <c r="S5" s="457"/>
      <c r="T5" s="458"/>
      <c r="U5" s="28"/>
      <c r="V5" s="461" t="s">
        <v>417</v>
      </c>
      <c r="W5" s="462"/>
      <c r="X5" s="459" t="s">
        <v>418</v>
      </c>
      <c r="Y5" s="460"/>
      <c r="Z5" s="28"/>
      <c r="AA5" s="28"/>
    </row>
    <row r="6" spans="1:27" ht="141" customHeight="1">
      <c r="A6" s="184" t="s">
        <v>29</v>
      </c>
      <c r="B6" s="182" t="s">
        <v>177</v>
      </c>
      <c r="C6" s="185" t="s">
        <v>30</v>
      </c>
      <c r="D6" s="185" t="s">
        <v>31</v>
      </c>
      <c r="E6" s="203" t="s">
        <v>260</v>
      </c>
      <c r="F6" s="175" t="s">
        <v>421</v>
      </c>
      <c r="G6" s="203" t="s">
        <v>261</v>
      </c>
      <c r="H6" s="175" t="s">
        <v>421</v>
      </c>
      <c r="I6" s="203" t="s">
        <v>262</v>
      </c>
      <c r="J6" s="175" t="s">
        <v>421</v>
      </c>
      <c r="K6" s="185" t="s">
        <v>95</v>
      </c>
      <c r="L6" s="185" t="s">
        <v>156</v>
      </c>
      <c r="M6" s="185" t="s">
        <v>37</v>
      </c>
      <c r="N6" s="185" t="s">
        <v>416</v>
      </c>
      <c r="O6" s="293" t="s">
        <v>422</v>
      </c>
      <c r="P6" s="186" t="s">
        <v>38</v>
      </c>
      <c r="Q6" s="176" t="s">
        <v>127</v>
      </c>
      <c r="R6" s="176" t="s">
        <v>128</v>
      </c>
      <c r="S6" s="176" t="s">
        <v>129</v>
      </c>
      <c r="T6" s="176" t="s">
        <v>130</v>
      </c>
      <c r="U6" s="187" t="s">
        <v>39</v>
      </c>
      <c r="V6" s="188" t="s">
        <v>155</v>
      </c>
      <c r="W6" s="189" t="s">
        <v>419</v>
      </c>
      <c r="X6" s="189" t="s">
        <v>154</v>
      </c>
      <c r="Y6" s="190" t="s">
        <v>420</v>
      </c>
      <c r="Z6" s="248" t="s">
        <v>415</v>
      </c>
      <c r="AA6" s="183" t="s">
        <v>0</v>
      </c>
    </row>
    <row r="7" spans="1:27">
      <c r="A7" s="52">
        <v>1</v>
      </c>
      <c r="B7" s="3"/>
      <c r="C7" s="3"/>
      <c r="D7" s="3"/>
      <c r="E7" s="3"/>
      <c r="F7" s="3"/>
      <c r="G7" s="3"/>
      <c r="H7" s="3"/>
      <c r="I7" s="3"/>
      <c r="J7" s="3"/>
      <c r="K7" s="3"/>
      <c r="L7" s="3"/>
      <c r="M7" s="3"/>
      <c r="N7" s="3"/>
      <c r="O7" s="54"/>
      <c r="P7" s="52"/>
      <c r="Q7" s="6"/>
      <c r="R7" s="6"/>
      <c r="S7" s="6"/>
      <c r="T7" s="6"/>
      <c r="U7" s="54">
        <f>SUM(Q7:T7)</f>
        <v>0</v>
      </c>
      <c r="V7" s="52"/>
      <c r="W7" s="3"/>
      <c r="X7" s="3"/>
      <c r="Y7" s="58"/>
      <c r="Z7" s="139"/>
      <c r="AA7" s="41"/>
    </row>
    <row r="8" spans="1:27">
      <c r="A8" s="52">
        <v>2</v>
      </c>
      <c r="B8" s="3"/>
      <c r="C8" s="3"/>
      <c r="D8" s="3"/>
      <c r="E8" s="3"/>
      <c r="F8" s="3"/>
      <c r="G8" s="3"/>
      <c r="H8" s="3"/>
      <c r="I8" s="3"/>
      <c r="J8" s="3"/>
      <c r="K8" s="3"/>
      <c r="L8" s="3"/>
      <c r="M8" s="3"/>
      <c r="N8" s="3"/>
      <c r="O8" s="54"/>
      <c r="P8" s="52"/>
      <c r="Q8" s="6"/>
      <c r="R8" s="6"/>
      <c r="S8" s="6"/>
      <c r="T8" s="6"/>
      <c r="U8" s="54">
        <f t="shared" ref="U8:U56" si="0">SUM(Q8:T8)</f>
        <v>0</v>
      </c>
      <c r="V8" s="52"/>
      <c r="W8" s="3"/>
      <c r="X8" s="3"/>
      <c r="Y8" s="58"/>
      <c r="Z8" s="41"/>
      <c r="AA8" s="41"/>
    </row>
    <row r="9" spans="1:27">
      <c r="A9" s="52">
        <v>3</v>
      </c>
      <c r="B9" s="3"/>
      <c r="C9" s="3"/>
      <c r="D9" s="3"/>
      <c r="E9" s="3"/>
      <c r="F9" s="3"/>
      <c r="G9" s="3"/>
      <c r="H9" s="3"/>
      <c r="I9" s="3"/>
      <c r="J9" s="3"/>
      <c r="K9" s="3"/>
      <c r="L9" s="3"/>
      <c r="M9" s="3"/>
      <c r="N9" s="3"/>
      <c r="O9" s="54"/>
      <c r="P9" s="52"/>
      <c r="Q9" s="6"/>
      <c r="R9" s="6"/>
      <c r="S9" s="6"/>
      <c r="T9" s="6"/>
      <c r="U9" s="54">
        <f t="shared" si="0"/>
        <v>0</v>
      </c>
      <c r="V9" s="52"/>
      <c r="W9" s="3"/>
      <c r="X9" s="3"/>
      <c r="Y9" s="58"/>
      <c r="Z9" s="41"/>
      <c r="AA9" s="41"/>
    </row>
    <row r="10" spans="1:27">
      <c r="A10" s="52">
        <v>4</v>
      </c>
      <c r="B10" s="3"/>
      <c r="C10" s="3"/>
      <c r="D10" s="3"/>
      <c r="E10" s="3"/>
      <c r="F10" s="3"/>
      <c r="G10" s="3"/>
      <c r="H10" s="3"/>
      <c r="I10" s="3"/>
      <c r="J10" s="3"/>
      <c r="K10" s="3"/>
      <c r="L10" s="3"/>
      <c r="M10" s="3"/>
      <c r="N10" s="3"/>
      <c r="O10" s="54"/>
      <c r="P10" s="52"/>
      <c r="Q10" s="6"/>
      <c r="R10" s="6"/>
      <c r="S10" s="6"/>
      <c r="T10" s="6"/>
      <c r="U10" s="54">
        <f t="shared" si="0"/>
        <v>0</v>
      </c>
      <c r="V10" s="52"/>
      <c r="W10" s="3"/>
      <c r="X10" s="3"/>
      <c r="Y10" s="58"/>
      <c r="Z10" s="41"/>
      <c r="AA10" s="41"/>
    </row>
    <row r="11" spans="1:27">
      <c r="A11" s="52">
        <v>5</v>
      </c>
      <c r="B11" s="3"/>
      <c r="C11" s="3"/>
      <c r="D11" s="3"/>
      <c r="E11" s="3"/>
      <c r="F11" s="3"/>
      <c r="G11" s="3"/>
      <c r="H11" s="3"/>
      <c r="I11" s="3"/>
      <c r="J11" s="3"/>
      <c r="K11" s="3"/>
      <c r="L11" s="3"/>
      <c r="M11" s="3"/>
      <c r="N11" s="3"/>
      <c r="O11" s="54"/>
      <c r="P11" s="52"/>
      <c r="Q11" s="6"/>
      <c r="R11" s="6"/>
      <c r="S11" s="6"/>
      <c r="T11" s="6"/>
      <c r="U11" s="54">
        <f t="shared" si="0"/>
        <v>0</v>
      </c>
      <c r="V11" s="52"/>
      <c r="W11" s="3"/>
      <c r="X11" s="3"/>
      <c r="Y11" s="58"/>
      <c r="Z11" s="41"/>
      <c r="AA11" s="41"/>
    </row>
    <row r="12" spans="1:27">
      <c r="A12" s="52">
        <v>6</v>
      </c>
      <c r="B12" s="3"/>
      <c r="C12" s="3"/>
      <c r="D12" s="3"/>
      <c r="E12" s="3"/>
      <c r="F12" s="3"/>
      <c r="G12" s="3"/>
      <c r="H12" s="3"/>
      <c r="I12" s="3"/>
      <c r="J12" s="3"/>
      <c r="K12" s="3"/>
      <c r="L12" s="3"/>
      <c r="M12" s="3"/>
      <c r="N12" s="3"/>
      <c r="O12" s="54"/>
      <c r="P12" s="52"/>
      <c r="Q12" s="6"/>
      <c r="R12" s="6"/>
      <c r="S12" s="6"/>
      <c r="T12" s="6"/>
      <c r="U12" s="54">
        <f t="shared" si="0"/>
        <v>0</v>
      </c>
      <c r="V12" s="52"/>
      <c r="W12" s="3"/>
      <c r="X12" s="3"/>
      <c r="Y12" s="58"/>
      <c r="Z12" s="41"/>
      <c r="AA12" s="41"/>
    </row>
    <row r="13" spans="1:27">
      <c r="A13" s="52">
        <v>7</v>
      </c>
      <c r="B13" s="3"/>
      <c r="C13" s="3"/>
      <c r="D13" s="3"/>
      <c r="E13" s="3"/>
      <c r="F13" s="3"/>
      <c r="G13" s="3"/>
      <c r="H13" s="3"/>
      <c r="I13" s="3"/>
      <c r="J13" s="3"/>
      <c r="K13" s="3"/>
      <c r="L13" s="3"/>
      <c r="M13" s="3"/>
      <c r="N13" s="3"/>
      <c r="O13" s="54"/>
      <c r="P13" s="52"/>
      <c r="Q13" s="6"/>
      <c r="R13" s="6"/>
      <c r="S13" s="6"/>
      <c r="T13" s="6"/>
      <c r="U13" s="54">
        <f t="shared" si="0"/>
        <v>0</v>
      </c>
      <c r="V13" s="52"/>
      <c r="W13" s="3"/>
      <c r="X13" s="3"/>
      <c r="Y13" s="58"/>
      <c r="Z13" s="41"/>
      <c r="AA13" s="41"/>
    </row>
    <row r="14" spans="1:27">
      <c r="A14" s="52">
        <v>8</v>
      </c>
      <c r="B14" s="3"/>
      <c r="C14" s="3"/>
      <c r="D14" s="3"/>
      <c r="E14" s="3"/>
      <c r="F14" s="3"/>
      <c r="G14" s="3"/>
      <c r="H14" s="3"/>
      <c r="I14" s="3"/>
      <c r="J14" s="3"/>
      <c r="K14" s="3"/>
      <c r="L14" s="3"/>
      <c r="M14" s="3"/>
      <c r="N14" s="3"/>
      <c r="O14" s="54"/>
      <c r="P14" s="52"/>
      <c r="Q14" s="6"/>
      <c r="R14" s="6"/>
      <c r="S14" s="6"/>
      <c r="T14" s="6"/>
      <c r="U14" s="54">
        <f t="shared" si="0"/>
        <v>0</v>
      </c>
      <c r="V14" s="52"/>
      <c r="W14" s="3"/>
      <c r="X14" s="3"/>
      <c r="Y14" s="58"/>
      <c r="Z14" s="41"/>
      <c r="AA14" s="41"/>
    </row>
    <row r="15" spans="1:27">
      <c r="A15" s="52">
        <v>9</v>
      </c>
      <c r="B15" s="3"/>
      <c r="C15" s="3"/>
      <c r="D15" s="3"/>
      <c r="E15" s="3"/>
      <c r="F15" s="3"/>
      <c r="G15" s="3"/>
      <c r="H15" s="3"/>
      <c r="I15" s="3"/>
      <c r="J15" s="3"/>
      <c r="K15" s="3"/>
      <c r="L15" s="3"/>
      <c r="M15" s="3"/>
      <c r="N15" s="3"/>
      <c r="O15" s="54"/>
      <c r="P15" s="52"/>
      <c r="Q15" s="6"/>
      <c r="R15" s="6"/>
      <c r="S15" s="6"/>
      <c r="T15" s="6"/>
      <c r="U15" s="54">
        <f t="shared" si="0"/>
        <v>0</v>
      </c>
      <c r="V15" s="52"/>
      <c r="W15" s="3"/>
      <c r="X15" s="3"/>
      <c r="Y15" s="58"/>
      <c r="Z15" s="41"/>
      <c r="AA15" s="41"/>
    </row>
    <row r="16" spans="1:27">
      <c r="A16" s="52">
        <v>10</v>
      </c>
      <c r="B16" s="3"/>
      <c r="C16" s="3"/>
      <c r="D16" s="3"/>
      <c r="E16" s="3"/>
      <c r="F16" s="3"/>
      <c r="G16" s="3"/>
      <c r="H16" s="3"/>
      <c r="I16" s="3"/>
      <c r="J16" s="3"/>
      <c r="K16" s="3"/>
      <c r="L16" s="3"/>
      <c r="M16" s="3"/>
      <c r="N16" s="3"/>
      <c r="O16" s="54"/>
      <c r="P16" s="52"/>
      <c r="Q16" s="6"/>
      <c r="R16" s="6"/>
      <c r="S16" s="6"/>
      <c r="T16" s="6"/>
      <c r="U16" s="54">
        <f t="shared" si="0"/>
        <v>0</v>
      </c>
      <c r="V16" s="52"/>
      <c r="W16" s="3"/>
      <c r="X16" s="3"/>
      <c r="Y16" s="58"/>
      <c r="Z16" s="41"/>
      <c r="AA16" s="41"/>
    </row>
    <row r="17" spans="1:27">
      <c r="A17" s="52">
        <v>11</v>
      </c>
      <c r="B17" s="3"/>
      <c r="C17" s="3"/>
      <c r="D17" s="3"/>
      <c r="E17" s="3"/>
      <c r="F17" s="3"/>
      <c r="G17" s="3"/>
      <c r="H17" s="3"/>
      <c r="I17" s="3"/>
      <c r="J17" s="3"/>
      <c r="K17" s="3"/>
      <c r="L17" s="3"/>
      <c r="M17" s="3"/>
      <c r="N17" s="3"/>
      <c r="O17" s="54"/>
      <c r="P17" s="52"/>
      <c r="Q17" s="6"/>
      <c r="R17" s="6"/>
      <c r="S17" s="6"/>
      <c r="T17" s="6"/>
      <c r="U17" s="54">
        <f t="shared" si="0"/>
        <v>0</v>
      </c>
      <c r="V17" s="52"/>
      <c r="W17" s="3"/>
      <c r="X17" s="3"/>
      <c r="Y17" s="58"/>
      <c r="Z17" s="41"/>
      <c r="AA17" s="41"/>
    </row>
    <row r="18" spans="1:27">
      <c r="A18" s="52">
        <v>12</v>
      </c>
      <c r="B18" s="3"/>
      <c r="C18" s="3"/>
      <c r="D18" s="3"/>
      <c r="E18" s="3"/>
      <c r="F18" s="3"/>
      <c r="G18" s="3"/>
      <c r="H18" s="3"/>
      <c r="I18" s="3"/>
      <c r="J18" s="3"/>
      <c r="K18" s="3"/>
      <c r="L18" s="3"/>
      <c r="M18" s="3"/>
      <c r="N18" s="3"/>
      <c r="O18" s="54"/>
      <c r="P18" s="52"/>
      <c r="Q18" s="6"/>
      <c r="R18" s="6"/>
      <c r="S18" s="6"/>
      <c r="T18" s="6"/>
      <c r="U18" s="54">
        <f t="shared" si="0"/>
        <v>0</v>
      </c>
      <c r="V18" s="52"/>
      <c r="W18" s="3"/>
      <c r="X18" s="3"/>
      <c r="Y18" s="58"/>
      <c r="Z18" s="41"/>
      <c r="AA18" s="41"/>
    </row>
    <row r="19" spans="1:27">
      <c r="A19" s="52">
        <v>13</v>
      </c>
      <c r="B19" s="3"/>
      <c r="C19" s="3"/>
      <c r="D19" s="3"/>
      <c r="E19" s="3"/>
      <c r="F19" s="3"/>
      <c r="G19" s="3"/>
      <c r="H19" s="3"/>
      <c r="I19" s="3"/>
      <c r="J19" s="3"/>
      <c r="K19" s="3"/>
      <c r="L19" s="3"/>
      <c r="M19" s="3"/>
      <c r="N19" s="3"/>
      <c r="O19" s="54"/>
      <c r="P19" s="52"/>
      <c r="Q19" s="6"/>
      <c r="R19" s="6"/>
      <c r="S19" s="6"/>
      <c r="T19" s="6"/>
      <c r="U19" s="54">
        <f t="shared" si="0"/>
        <v>0</v>
      </c>
      <c r="V19" s="52"/>
      <c r="W19" s="3"/>
      <c r="X19" s="3"/>
      <c r="Y19" s="58"/>
      <c r="Z19" s="41"/>
      <c r="AA19" s="41"/>
    </row>
    <row r="20" spans="1:27">
      <c r="A20" s="52">
        <v>14</v>
      </c>
      <c r="B20" s="3"/>
      <c r="C20" s="3"/>
      <c r="D20" s="3"/>
      <c r="E20" s="3"/>
      <c r="F20" s="3"/>
      <c r="G20" s="3"/>
      <c r="H20" s="3"/>
      <c r="I20" s="3"/>
      <c r="J20" s="3"/>
      <c r="K20" s="3"/>
      <c r="L20" s="3"/>
      <c r="M20" s="3"/>
      <c r="N20" s="3"/>
      <c r="O20" s="54"/>
      <c r="P20" s="52"/>
      <c r="Q20" s="6"/>
      <c r="R20" s="6"/>
      <c r="S20" s="6"/>
      <c r="T20" s="6"/>
      <c r="U20" s="54">
        <f t="shared" si="0"/>
        <v>0</v>
      </c>
      <c r="V20" s="52"/>
      <c r="W20" s="3"/>
      <c r="X20" s="3"/>
      <c r="Y20" s="58"/>
      <c r="Z20" s="41"/>
      <c r="AA20" s="41"/>
    </row>
    <row r="21" spans="1:27">
      <c r="A21" s="52">
        <v>15</v>
      </c>
      <c r="B21" s="3"/>
      <c r="C21" s="3"/>
      <c r="D21" s="3"/>
      <c r="E21" s="3"/>
      <c r="F21" s="3"/>
      <c r="G21" s="3"/>
      <c r="H21" s="3"/>
      <c r="I21" s="3"/>
      <c r="J21" s="3"/>
      <c r="K21" s="3"/>
      <c r="L21" s="3"/>
      <c r="M21" s="3"/>
      <c r="N21" s="3"/>
      <c r="O21" s="54"/>
      <c r="P21" s="52"/>
      <c r="Q21" s="6"/>
      <c r="R21" s="6"/>
      <c r="S21" s="6"/>
      <c r="T21" s="6"/>
      <c r="U21" s="54">
        <f t="shared" si="0"/>
        <v>0</v>
      </c>
      <c r="V21" s="52"/>
      <c r="W21" s="3"/>
      <c r="X21" s="3"/>
      <c r="Y21" s="58"/>
      <c r="Z21" s="41"/>
      <c r="AA21" s="41"/>
    </row>
    <row r="22" spans="1:27">
      <c r="A22" s="52">
        <v>16</v>
      </c>
      <c r="B22" s="3"/>
      <c r="C22" s="3"/>
      <c r="D22" s="3"/>
      <c r="E22" s="3"/>
      <c r="F22" s="3"/>
      <c r="G22" s="3"/>
      <c r="H22" s="3"/>
      <c r="I22" s="3"/>
      <c r="J22" s="3"/>
      <c r="K22" s="3"/>
      <c r="L22" s="3"/>
      <c r="M22" s="3"/>
      <c r="N22" s="3"/>
      <c r="O22" s="54"/>
      <c r="P22" s="52"/>
      <c r="Q22" s="6"/>
      <c r="R22" s="6"/>
      <c r="S22" s="6"/>
      <c r="T22" s="6"/>
      <c r="U22" s="54">
        <f t="shared" si="0"/>
        <v>0</v>
      </c>
      <c r="V22" s="52"/>
      <c r="W22" s="3"/>
      <c r="X22" s="3"/>
      <c r="Y22" s="58"/>
      <c r="Z22" s="41"/>
      <c r="AA22" s="41"/>
    </row>
    <row r="23" spans="1:27">
      <c r="A23" s="52">
        <v>17</v>
      </c>
      <c r="B23" s="3"/>
      <c r="C23" s="3"/>
      <c r="D23" s="3"/>
      <c r="E23" s="3"/>
      <c r="F23" s="3"/>
      <c r="G23" s="3"/>
      <c r="H23" s="3"/>
      <c r="I23" s="3"/>
      <c r="J23" s="3"/>
      <c r="K23" s="3"/>
      <c r="L23" s="3"/>
      <c r="M23" s="3"/>
      <c r="N23" s="3"/>
      <c r="O23" s="54"/>
      <c r="P23" s="52"/>
      <c r="Q23" s="6"/>
      <c r="R23" s="6"/>
      <c r="S23" s="6"/>
      <c r="T23" s="6"/>
      <c r="U23" s="54">
        <f t="shared" si="0"/>
        <v>0</v>
      </c>
      <c r="V23" s="52"/>
      <c r="W23" s="3"/>
      <c r="X23" s="3"/>
      <c r="Y23" s="58"/>
      <c r="Z23" s="41"/>
      <c r="AA23" s="41"/>
    </row>
    <row r="24" spans="1:27">
      <c r="A24" s="52">
        <v>18</v>
      </c>
      <c r="B24" s="3"/>
      <c r="C24" s="3"/>
      <c r="D24" s="3"/>
      <c r="E24" s="3"/>
      <c r="F24" s="3"/>
      <c r="G24" s="3"/>
      <c r="H24" s="3"/>
      <c r="I24" s="3"/>
      <c r="J24" s="3"/>
      <c r="K24" s="3"/>
      <c r="L24" s="3"/>
      <c r="M24" s="3"/>
      <c r="N24" s="3"/>
      <c r="O24" s="54"/>
      <c r="P24" s="52"/>
      <c r="Q24" s="6"/>
      <c r="R24" s="6"/>
      <c r="S24" s="6"/>
      <c r="T24" s="6"/>
      <c r="U24" s="54">
        <f t="shared" si="0"/>
        <v>0</v>
      </c>
      <c r="V24" s="52"/>
      <c r="W24" s="3"/>
      <c r="X24" s="3"/>
      <c r="Y24" s="58"/>
      <c r="Z24" s="41"/>
      <c r="AA24" s="41"/>
    </row>
    <row r="25" spans="1:27">
      <c r="A25" s="52">
        <v>19</v>
      </c>
      <c r="B25" s="3"/>
      <c r="C25" s="3"/>
      <c r="D25" s="3"/>
      <c r="E25" s="3"/>
      <c r="F25" s="3"/>
      <c r="G25" s="3"/>
      <c r="H25" s="3"/>
      <c r="I25" s="3"/>
      <c r="J25" s="3"/>
      <c r="K25" s="3"/>
      <c r="L25" s="3"/>
      <c r="M25" s="3"/>
      <c r="N25" s="3"/>
      <c r="O25" s="54"/>
      <c r="P25" s="52"/>
      <c r="Q25" s="6"/>
      <c r="R25" s="6"/>
      <c r="S25" s="6"/>
      <c r="T25" s="6"/>
      <c r="U25" s="54">
        <f t="shared" si="0"/>
        <v>0</v>
      </c>
      <c r="V25" s="52"/>
      <c r="W25" s="3"/>
      <c r="X25" s="3"/>
      <c r="Y25" s="58"/>
      <c r="Z25" s="41"/>
      <c r="AA25" s="41"/>
    </row>
    <row r="26" spans="1:27">
      <c r="A26" s="52">
        <v>20</v>
      </c>
      <c r="B26" s="3"/>
      <c r="C26" s="3"/>
      <c r="D26" s="3"/>
      <c r="E26" s="3"/>
      <c r="F26" s="3"/>
      <c r="G26" s="3"/>
      <c r="H26" s="3"/>
      <c r="I26" s="3"/>
      <c r="J26" s="3"/>
      <c r="K26" s="3"/>
      <c r="L26" s="3"/>
      <c r="M26" s="3"/>
      <c r="N26" s="3"/>
      <c r="O26" s="54"/>
      <c r="P26" s="52"/>
      <c r="Q26" s="6"/>
      <c r="R26" s="6"/>
      <c r="S26" s="6"/>
      <c r="T26" s="6"/>
      <c r="U26" s="54">
        <f t="shared" si="0"/>
        <v>0</v>
      </c>
      <c r="V26" s="52"/>
      <c r="W26" s="3"/>
      <c r="X26" s="3"/>
      <c r="Y26" s="58"/>
      <c r="Z26" s="41"/>
      <c r="AA26" s="41"/>
    </row>
    <row r="27" spans="1:27">
      <c r="A27" s="52">
        <v>21</v>
      </c>
      <c r="B27" s="3"/>
      <c r="C27" s="3"/>
      <c r="D27" s="3"/>
      <c r="E27" s="3"/>
      <c r="F27" s="3"/>
      <c r="G27" s="3"/>
      <c r="H27" s="3"/>
      <c r="I27" s="3"/>
      <c r="J27" s="3"/>
      <c r="K27" s="3"/>
      <c r="L27" s="3"/>
      <c r="M27" s="3"/>
      <c r="N27" s="3"/>
      <c r="O27" s="54"/>
      <c r="P27" s="52"/>
      <c r="Q27" s="6"/>
      <c r="R27" s="6"/>
      <c r="S27" s="6"/>
      <c r="T27" s="6"/>
      <c r="U27" s="54">
        <f t="shared" si="0"/>
        <v>0</v>
      </c>
      <c r="V27" s="52"/>
      <c r="W27" s="3"/>
      <c r="X27" s="3"/>
      <c r="Y27" s="58"/>
      <c r="Z27" s="41"/>
      <c r="AA27" s="41"/>
    </row>
    <row r="28" spans="1:27">
      <c r="A28" s="52">
        <v>22</v>
      </c>
      <c r="B28" s="3"/>
      <c r="C28" s="3"/>
      <c r="D28" s="3"/>
      <c r="E28" s="3"/>
      <c r="F28" s="3"/>
      <c r="G28" s="3"/>
      <c r="H28" s="3"/>
      <c r="I28" s="3"/>
      <c r="J28" s="3"/>
      <c r="K28" s="3"/>
      <c r="L28" s="3"/>
      <c r="M28" s="3"/>
      <c r="N28" s="3"/>
      <c r="O28" s="54"/>
      <c r="P28" s="52"/>
      <c r="Q28" s="6"/>
      <c r="R28" s="6"/>
      <c r="S28" s="6"/>
      <c r="T28" s="6"/>
      <c r="U28" s="54">
        <f t="shared" si="0"/>
        <v>0</v>
      </c>
      <c r="V28" s="52"/>
      <c r="W28" s="3"/>
      <c r="X28" s="3"/>
      <c r="Y28" s="58"/>
      <c r="Z28" s="41"/>
      <c r="AA28" s="41"/>
    </row>
    <row r="29" spans="1:27">
      <c r="A29" s="52">
        <v>23</v>
      </c>
      <c r="B29" s="3"/>
      <c r="C29" s="3"/>
      <c r="D29" s="3"/>
      <c r="E29" s="3"/>
      <c r="F29" s="3"/>
      <c r="G29" s="3"/>
      <c r="H29" s="3"/>
      <c r="I29" s="3"/>
      <c r="J29" s="3"/>
      <c r="K29" s="3"/>
      <c r="L29" s="3"/>
      <c r="M29" s="3"/>
      <c r="N29" s="3"/>
      <c r="O29" s="54"/>
      <c r="P29" s="52"/>
      <c r="Q29" s="6"/>
      <c r="R29" s="6"/>
      <c r="S29" s="6"/>
      <c r="T29" s="6"/>
      <c r="U29" s="54">
        <f t="shared" si="0"/>
        <v>0</v>
      </c>
      <c r="V29" s="52"/>
      <c r="W29" s="3"/>
      <c r="X29" s="3"/>
      <c r="Y29" s="58"/>
      <c r="Z29" s="41"/>
      <c r="AA29" s="41"/>
    </row>
    <row r="30" spans="1:27">
      <c r="A30" s="52">
        <v>24</v>
      </c>
      <c r="B30" s="3"/>
      <c r="C30" s="3"/>
      <c r="D30" s="3"/>
      <c r="E30" s="3"/>
      <c r="F30" s="3"/>
      <c r="G30" s="3"/>
      <c r="H30" s="3"/>
      <c r="I30" s="3"/>
      <c r="J30" s="3"/>
      <c r="K30" s="3"/>
      <c r="L30" s="3"/>
      <c r="M30" s="3"/>
      <c r="N30" s="3"/>
      <c r="O30" s="54"/>
      <c r="P30" s="52"/>
      <c r="Q30" s="6"/>
      <c r="R30" s="6"/>
      <c r="S30" s="6"/>
      <c r="T30" s="6"/>
      <c r="U30" s="54">
        <f t="shared" si="0"/>
        <v>0</v>
      </c>
      <c r="V30" s="52"/>
      <c r="W30" s="3"/>
      <c r="X30" s="3"/>
      <c r="Y30" s="58"/>
      <c r="Z30" s="41"/>
      <c r="AA30" s="41"/>
    </row>
    <row r="31" spans="1:27">
      <c r="A31" s="52">
        <v>25</v>
      </c>
      <c r="B31" s="3"/>
      <c r="C31" s="3"/>
      <c r="D31" s="3"/>
      <c r="E31" s="3"/>
      <c r="F31" s="3"/>
      <c r="G31" s="3"/>
      <c r="H31" s="3"/>
      <c r="I31" s="3"/>
      <c r="J31" s="3"/>
      <c r="K31" s="3"/>
      <c r="L31" s="3"/>
      <c r="M31" s="3"/>
      <c r="N31" s="3"/>
      <c r="O31" s="54"/>
      <c r="P31" s="52"/>
      <c r="Q31" s="6"/>
      <c r="R31" s="6"/>
      <c r="S31" s="6"/>
      <c r="T31" s="6"/>
      <c r="U31" s="54">
        <f t="shared" si="0"/>
        <v>0</v>
      </c>
      <c r="V31" s="52"/>
      <c r="W31" s="3"/>
      <c r="X31" s="3"/>
      <c r="Y31" s="58"/>
      <c r="Z31" s="41"/>
      <c r="AA31" s="41"/>
    </row>
    <row r="32" spans="1:27">
      <c r="A32" s="52">
        <v>26</v>
      </c>
      <c r="B32" s="3"/>
      <c r="C32" s="3"/>
      <c r="D32" s="3"/>
      <c r="E32" s="3"/>
      <c r="F32" s="3"/>
      <c r="G32" s="3"/>
      <c r="H32" s="3"/>
      <c r="I32" s="3"/>
      <c r="J32" s="3"/>
      <c r="K32" s="3"/>
      <c r="L32" s="3"/>
      <c r="M32" s="3"/>
      <c r="N32" s="3"/>
      <c r="O32" s="54"/>
      <c r="P32" s="52"/>
      <c r="Q32" s="6"/>
      <c r="R32" s="6"/>
      <c r="S32" s="6"/>
      <c r="T32" s="6"/>
      <c r="U32" s="54">
        <f t="shared" si="0"/>
        <v>0</v>
      </c>
      <c r="V32" s="52"/>
      <c r="W32" s="3"/>
      <c r="X32" s="3"/>
      <c r="Y32" s="58"/>
      <c r="Z32" s="41"/>
      <c r="AA32" s="41"/>
    </row>
    <row r="33" spans="1:27">
      <c r="A33" s="52">
        <v>27</v>
      </c>
      <c r="B33" s="3"/>
      <c r="C33" s="3"/>
      <c r="D33" s="3"/>
      <c r="E33" s="3"/>
      <c r="F33" s="3"/>
      <c r="G33" s="3"/>
      <c r="H33" s="3"/>
      <c r="I33" s="3"/>
      <c r="J33" s="3"/>
      <c r="K33" s="3"/>
      <c r="L33" s="3"/>
      <c r="M33" s="3"/>
      <c r="N33" s="3"/>
      <c r="O33" s="54"/>
      <c r="P33" s="52"/>
      <c r="Q33" s="6"/>
      <c r="R33" s="6"/>
      <c r="S33" s="6"/>
      <c r="T33" s="6"/>
      <c r="U33" s="54">
        <f t="shared" si="0"/>
        <v>0</v>
      </c>
      <c r="V33" s="52"/>
      <c r="W33" s="3"/>
      <c r="X33" s="3"/>
      <c r="Y33" s="58"/>
      <c r="Z33" s="41"/>
      <c r="AA33" s="41"/>
    </row>
    <row r="34" spans="1:27">
      <c r="A34" s="52">
        <v>28</v>
      </c>
      <c r="B34" s="3"/>
      <c r="C34" s="3"/>
      <c r="D34" s="3"/>
      <c r="E34" s="3"/>
      <c r="F34" s="3"/>
      <c r="G34" s="3"/>
      <c r="H34" s="3"/>
      <c r="I34" s="3"/>
      <c r="J34" s="3"/>
      <c r="K34" s="3"/>
      <c r="L34" s="3"/>
      <c r="M34" s="3"/>
      <c r="N34" s="3"/>
      <c r="O34" s="54"/>
      <c r="P34" s="52"/>
      <c r="Q34" s="6"/>
      <c r="R34" s="6"/>
      <c r="S34" s="6"/>
      <c r="T34" s="6"/>
      <c r="U34" s="54">
        <f t="shared" si="0"/>
        <v>0</v>
      </c>
      <c r="V34" s="52"/>
      <c r="W34" s="3"/>
      <c r="X34" s="3"/>
      <c r="Y34" s="58"/>
      <c r="Z34" s="41"/>
      <c r="AA34" s="41"/>
    </row>
    <row r="35" spans="1:27">
      <c r="A35" s="52">
        <v>29</v>
      </c>
      <c r="B35" s="3"/>
      <c r="C35" s="3"/>
      <c r="D35" s="3"/>
      <c r="E35" s="3"/>
      <c r="F35" s="3"/>
      <c r="G35" s="3"/>
      <c r="H35" s="3"/>
      <c r="I35" s="3"/>
      <c r="J35" s="3"/>
      <c r="K35" s="3"/>
      <c r="L35" s="3"/>
      <c r="M35" s="3"/>
      <c r="N35" s="3"/>
      <c r="O35" s="54"/>
      <c r="P35" s="52"/>
      <c r="Q35" s="6"/>
      <c r="R35" s="6"/>
      <c r="S35" s="6"/>
      <c r="T35" s="6"/>
      <c r="U35" s="54">
        <f t="shared" si="0"/>
        <v>0</v>
      </c>
      <c r="V35" s="52"/>
      <c r="W35" s="3"/>
      <c r="X35" s="3"/>
      <c r="Y35" s="58"/>
      <c r="Z35" s="41"/>
      <c r="AA35" s="41"/>
    </row>
    <row r="36" spans="1:27">
      <c r="A36" s="52">
        <v>30</v>
      </c>
      <c r="B36" s="3"/>
      <c r="C36" s="3"/>
      <c r="D36" s="3"/>
      <c r="E36" s="3"/>
      <c r="F36" s="3"/>
      <c r="G36" s="3"/>
      <c r="H36" s="3"/>
      <c r="I36" s="3"/>
      <c r="J36" s="3"/>
      <c r="K36" s="3"/>
      <c r="L36" s="3"/>
      <c r="M36" s="3"/>
      <c r="N36" s="3"/>
      <c r="O36" s="54"/>
      <c r="P36" s="52"/>
      <c r="Q36" s="6"/>
      <c r="R36" s="6"/>
      <c r="S36" s="6"/>
      <c r="T36" s="6"/>
      <c r="U36" s="54">
        <f t="shared" si="0"/>
        <v>0</v>
      </c>
      <c r="V36" s="52"/>
      <c r="W36" s="3"/>
      <c r="X36" s="3"/>
      <c r="Y36" s="58"/>
      <c r="Z36" s="41"/>
      <c r="AA36" s="41"/>
    </row>
    <row r="37" spans="1:27">
      <c r="A37" s="52">
        <v>31</v>
      </c>
      <c r="B37" s="3"/>
      <c r="C37" s="3"/>
      <c r="D37" s="3"/>
      <c r="E37" s="3"/>
      <c r="F37" s="3"/>
      <c r="G37" s="3"/>
      <c r="H37" s="3"/>
      <c r="I37" s="3"/>
      <c r="J37" s="3"/>
      <c r="K37" s="3"/>
      <c r="L37" s="3"/>
      <c r="M37" s="3"/>
      <c r="N37" s="3"/>
      <c r="O37" s="54"/>
      <c r="P37" s="52"/>
      <c r="Q37" s="6"/>
      <c r="R37" s="6"/>
      <c r="S37" s="6"/>
      <c r="T37" s="6"/>
      <c r="U37" s="54">
        <f t="shared" si="0"/>
        <v>0</v>
      </c>
      <c r="V37" s="52"/>
      <c r="W37" s="3"/>
      <c r="X37" s="3"/>
      <c r="Y37" s="58"/>
      <c r="Z37" s="41"/>
      <c r="AA37" s="41"/>
    </row>
    <row r="38" spans="1:27">
      <c r="A38" s="52">
        <v>32</v>
      </c>
      <c r="B38" s="3"/>
      <c r="C38" s="3"/>
      <c r="D38" s="3"/>
      <c r="E38" s="3"/>
      <c r="F38" s="3"/>
      <c r="G38" s="3"/>
      <c r="H38" s="3"/>
      <c r="I38" s="3"/>
      <c r="J38" s="3"/>
      <c r="K38" s="3"/>
      <c r="L38" s="3"/>
      <c r="M38" s="3"/>
      <c r="N38" s="3"/>
      <c r="O38" s="54"/>
      <c r="P38" s="52"/>
      <c r="Q38" s="6"/>
      <c r="R38" s="6"/>
      <c r="S38" s="6"/>
      <c r="T38" s="6"/>
      <c r="U38" s="54">
        <f t="shared" si="0"/>
        <v>0</v>
      </c>
      <c r="V38" s="52"/>
      <c r="W38" s="3"/>
      <c r="X38" s="3"/>
      <c r="Y38" s="58"/>
      <c r="Z38" s="41"/>
      <c r="AA38" s="41"/>
    </row>
    <row r="39" spans="1:27">
      <c r="A39" s="52">
        <v>33</v>
      </c>
      <c r="B39" s="3"/>
      <c r="C39" s="3"/>
      <c r="D39" s="3"/>
      <c r="E39" s="3"/>
      <c r="F39" s="3"/>
      <c r="G39" s="3"/>
      <c r="H39" s="3"/>
      <c r="I39" s="3"/>
      <c r="J39" s="3"/>
      <c r="K39" s="3"/>
      <c r="L39" s="3"/>
      <c r="M39" s="3"/>
      <c r="N39" s="3"/>
      <c r="O39" s="54"/>
      <c r="P39" s="52"/>
      <c r="Q39" s="6"/>
      <c r="R39" s="6"/>
      <c r="S39" s="6"/>
      <c r="T39" s="6"/>
      <c r="U39" s="54">
        <f t="shared" si="0"/>
        <v>0</v>
      </c>
      <c r="V39" s="52"/>
      <c r="W39" s="3"/>
      <c r="X39" s="3"/>
      <c r="Y39" s="58"/>
      <c r="Z39" s="41"/>
      <c r="AA39" s="41"/>
    </row>
    <row r="40" spans="1:27">
      <c r="A40" s="52">
        <v>34</v>
      </c>
      <c r="B40" s="3"/>
      <c r="C40" s="3"/>
      <c r="D40" s="3"/>
      <c r="E40" s="3"/>
      <c r="F40" s="3"/>
      <c r="G40" s="3"/>
      <c r="H40" s="3"/>
      <c r="I40" s="3"/>
      <c r="J40" s="3"/>
      <c r="K40" s="3"/>
      <c r="L40" s="3"/>
      <c r="M40" s="3"/>
      <c r="N40" s="3"/>
      <c r="O40" s="54"/>
      <c r="P40" s="52"/>
      <c r="Q40" s="6"/>
      <c r="R40" s="6"/>
      <c r="S40" s="6"/>
      <c r="T40" s="6"/>
      <c r="U40" s="54">
        <f t="shared" si="0"/>
        <v>0</v>
      </c>
      <c r="V40" s="52"/>
      <c r="W40" s="3"/>
      <c r="X40" s="3"/>
      <c r="Y40" s="58"/>
      <c r="Z40" s="41"/>
      <c r="AA40" s="41"/>
    </row>
    <row r="41" spans="1:27">
      <c r="A41" s="52">
        <v>35</v>
      </c>
      <c r="B41" s="3"/>
      <c r="C41" s="3"/>
      <c r="D41" s="3"/>
      <c r="E41" s="3"/>
      <c r="F41" s="3"/>
      <c r="G41" s="3"/>
      <c r="H41" s="3"/>
      <c r="I41" s="3"/>
      <c r="J41" s="3"/>
      <c r="K41" s="3"/>
      <c r="L41" s="3"/>
      <c r="M41" s="3"/>
      <c r="N41" s="3"/>
      <c r="O41" s="54"/>
      <c r="P41" s="52"/>
      <c r="Q41" s="6"/>
      <c r="R41" s="6"/>
      <c r="S41" s="6"/>
      <c r="T41" s="6"/>
      <c r="U41" s="54">
        <f t="shared" si="0"/>
        <v>0</v>
      </c>
      <c r="V41" s="52"/>
      <c r="W41" s="3"/>
      <c r="X41" s="3"/>
      <c r="Y41" s="58"/>
      <c r="Z41" s="41"/>
      <c r="AA41" s="41"/>
    </row>
    <row r="42" spans="1:27">
      <c r="A42" s="52">
        <v>36</v>
      </c>
      <c r="B42" s="3"/>
      <c r="C42" s="3"/>
      <c r="D42" s="3"/>
      <c r="E42" s="3"/>
      <c r="F42" s="3"/>
      <c r="G42" s="3"/>
      <c r="H42" s="3"/>
      <c r="I42" s="3"/>
      <c r="J42" s="3"/>
      <c r="K42" s="3"/>
      <c r="L42" s="3"/>
      <c r="M42" s="3"/>
      <c r="N42" s="3"/>
      <c r="O42" s="54"/>
      <c r="P42" s="52"/>
      <c r="Q42" s="6"/>
      <c r="R42" s="6"/>
      <c r="S42" s="6"/>
      <c r="T42" s="6"/>
      <c r="U42" s="54">
        <f t="shared" si="0"/>
        <v>0</v>
      </c>
      <c r="V42" s="52"/>
      <c r="W42" s="3"/>
      <c r="X42" s="3"/>
      <c r="Y42" s="58"/>
      <c r="Z42" s="41"/>
      <c r="AA42" s="41"/>
    </row>
    <row r="43" spans="1:27">
      <c r="A43" s="52">
        <v>37</v>
      </c>
      <c r="B43" s="3"/>
      <c r="C43" s="3"/>
      <c r="D43" s="3"/>
      <c r="E43" s="3"/>
      <c r="F43" s="3"/>
      <c r="G43" s="3"/>
      <c r="H43" s="3"/>
      <c r="I43" s="3"/>
      <c r="J43" s="3"/>
      <c r="K43" s="3"/>
      <c r="L43" s="3"/>
      <c r="M43" s="3"/>
      <c r="N43" s="3"/>
      <c r="O43" s="54"/>
      <c r="P43" s="52"/>
      <c r="Q43" s="6"/>
      <c r="R43" s="6"/>
      <c r="S43" s="6"/>
      <c r="T43" s="6"/>
      <c r="U43" s="54">
        <f t="shared" si="0"/>
        <v>0</v>
      </c>
      <c r="V43" s="52"/>
      <c r="W43" s="3"/>
      <c r="X43" s="3"/>
      <c r="Y43" s="58"/>
      <c r="Z43" s="41"/>
      <c r="AA43" s="41"/>
    </row>
    <row r="44" spans="1:27">
      <c r="A44" s="52">
        <v>38</v>
      </c>
      <c r="B44" s="3"/>
      <c r="C44" s="3"/>
      <c r="D44" s="3"/>
      <c r="E44" s="3"/>
      <c r="F44" s="3"/>
      <c r="G44" s="3"/>
      <c r="H44" s="3"/>
      <c r="I44" s="3"/>
      <c r="J44" s="3"/>
      <c r="K44" s="3"/>
      <c r="L44" s="3"/>
      <c r="M44" s="3"/>
      <c r="N44" s="3"/>
      <c r="O44" s="54"/>
      <c r="P44" s="52"/>
      <c r="Q44" s="6"/>
      <c r="R44" s="6"/>
      <c r="S44" s="6"/>
      <c r="T44" s="6"/>
      <c r="U44" s="54">
        <f t="shared" si="0"/>
        <v>0</v>
      </c>
      <c r="V44" s="52"/>
      <c r="W44" s="3"/>
      <c r="X44" s="3"/>
      <c r="Y44" s="58"/>
      <c r="Z44" s="41"/>
      <c r="AA44" s="41"/>
    </row>
    <row r="45" spans="1:27">
      <c r="A45" s="52">
        <v>39</v>
      </c>
      <c r="B45" s="3"/>
      <c r="C45" s="3"/>
      <c r="D45" s="3"/>
      <c r="E45" s="3"/>
      <c r="F45" s="3"/>
      <c r="G45" s="3"/>
      <c r="H45" s="3"/>
      <c r="I45" s="3"/>
      <c r="J45" s="3"/>
      <c r="K45" s="3"/>
      <c r="L45" s="3"/>
      <c r="M45" s="3"/>
      <c r="N45" s="3"/>
      <c r="O45" s="54"/>
      <c r="P45" s="52"/>
      <c r="Q45" s="6"/>
      <c r="R45" s="6"/>
      <c r="S45" s="6"/>
      <c r="T45" s="6"/>
      <c r="U45" s="54">
        <f t="shared" si="0"/>
        <v>0</v>
      </c>
      <c r="V45" s="52"/>
      <c r="W45" s="3"/>
      <c r="X45" s="3"/>
      <c r="Y45" s="58"/>
      <c r="Z45" s="41"/>
      <c r="AA45" s="41"/>
    </row>
    <row r="46" spans="1:27">
      <c r="A46" s="52">
        <v>40</v>
      </c>
      <c r="B46" s="3"/>
      <c r="C46" s="3"/>
      <c r="D46" s="3"/>
      <c r="E46" s="3"/>
      <c r="F46" s="3"/>
      <c r="G46" s="3"/>
      <c r="H46" s="3"/>
      <c r="I46" s="3"/>
      <c r="J46" s="3"/>
      <c r="K46" s="3"/>
      <c r="L46" s="3"/>
      <c r="M46" s="3"/>
      <c r="N46" s="3"/>
      <c r="O46" s="54"/>
      <c r="P46" s="52"/>
      <c r="Q46" s="6"/>
      <c r="R46" s="6"/>
      <c r="S46" s="6"/>
      <c r="T46" s="6"/>
      <c r="U46" s="54">
        <f t="shared" si="0"/>
        <v>0</v>
      </c>
      <c r="V46" s="52"/>
      <c r="W46" s="3"/>
      <c r="X46" s="3"/>
      <c r="Y46" s="58"/>
      <c r="Z46" s="41"/>
      <c r="AA46" s="41"/>
    </row>
    <row r="47" spans="1:27">
      <c r="A47" s="52">
        <v>41</v>
      </c>
      <c r="B47" s="3"/>
      <c r="C47" s="3"/>
      <c r="D47" s="3"/>
      <c r="E47" s="3"/>
      <c r="F47" s="3"/>
      <c r="G47" s="3"/>
      <c r="H47" s="3"/>
      <c r="I47" s="3"/>
      <c r="J47" s="3"/>
      <c r="K47" s="3"/>
      <c r="L47" s="3"/>
      <c r="M47" s="3"/>
      <c r="N47" s="3"/>
      <c r="O47" s="54"/>
      <c r="P47" s="52"/>
      <c r="Q47" s="6"/>
      <c r="R47" s="6"/>
      <c r="S47" s="6"/>
      <c r="T47" s="6"/>
      <c r="U47" s="54">
        <f t="shared" si="0"/>
        <v>0</v>
      </c>
      <c r="V47" s="52"/>
      <c r="W47" s="3"/>
      <c r="X47" s="3"/>
      <c r="Y47" s="58"/>
      <c r="Z47" s="41"/>
      <c r="AA47" s="41"/>
    </row>
    <row r="48" spans="1:27">
      <c r="A48" s="52">
        <v>42</v>
      </c>
      <c r="B48" s="3"/>
      <c r="C48" s="3"/>
      <c r="D48" s="3"/>
      <c r="E48" s="3"/>
      <c r="F48" s="3"/>
      <c r="G48" s="3"/>
      <c r="H48" s="3"/>
      <c r="I48" s="3"/>
      <c r="J48" s="3"/>
      <c r="K48" s="3"/>
      <c r="L48" s="3"/>
      <c r="M48" s="3"/>
      <c r="N48" s="3"/>
      <c r="O48" s="54"/>
      <c r="P48" s="52"/>
      <c r="Q48" s="6"/>
      <c r="R48" s="6"/>
      <c r="S48" s="6"/>
      <c r="T48" s="6"/>
      <c r="U48" s="54">
        <f t="shared" si="0"/>
        <v>0</v>
      </c>
      <c r="V48" s="52"/>
      <c r="W48" s="3"/>
      <c r="X48" s="3"/>
      <c r="Y48" s="58"/>
      <c r="Z48" s="41"/>
      <c r="AA48" s="41"/>
    </row>
    <row r="49" spans="1:27">
      <c r="A49" s="52">
        <v>43</v>
      </c>
      <c r="B49" s="3"/>
      <c r="C49" s="3"/>
      <c r="D49" s="3"/>
      <c r="E49" s="3"/>
      <c r="F49" s="3"/>
      <c r="G49" s="3"/>
      <c r="H49" s="3"/>
      <c r="I49" s="3"/>
      <c r="J49" s="3"/>
      <c r="K49" s="3"/>
      <c r="L49" s="3"/>
      <c r="M49" s="3"/>
      <c r="N49" s="3"/>
      <c r="O49" s="54"/>
      <c r="P49" s="52"/>
      <c r="Q49" s="6"/>
      <c r="R49" s="6"/>
      <c r="S49" s="6"/>
      <c r="T49" s="6"/>
      <c r="U49" s="54">
        <f t="shared" si="0"/>
        <v>0</v>
      </c>
      <c r="V49" s="52"/>
      <c r="W49" s="3"/>
      <c r="X49" s="3"/>
      <c r="Y49" s="58"/>
      <c r="Z49" s="41"/>
      <c r="AA49" s="41"/>
    </row>
    <row r="50" spans="1:27">
      <c r="A50" s="52">
        <v>44</v>
      </c>
      <c r="B50" s="3"/>
      <c r="C50" s="3"/>
      <c r="D50" s="3"/>
      <c r="E50" s="3"/>
      <c r="F50" s="3"/>
      <c r="G50" s="3"/>
      <c r="H50" s="3"/>
      <c r="I50" s="3"/>
      <c r="J50" s="3"/>
      <c r="K50" s="3"/>
      <c r="L50" s="3"/>
      <c r="M50" s="3"/>
      <c r="N50" s="3"/>
      <c r="O50" s="54"/>
      <c r="P50" s="52"/>
      <c r="Q50" s="6"/>
      <c r="R50" s="6"/>
      <c r="S50" s="6"/>
      <c r="T50" s="6"/>
      <c r="U50" s="54">
        <f t="shared" si="0"/>
        <v>0</v>
      </c>
      <c r="V50" s="52"/>
      <c r="W50" s="3"/>
      <c r="X50" s="3"/>
      <c r="Y50" s="58"/>
      <c r="Z50" s="41"/>
      <c r="AA50" s="41"/>
    </row>
    <row r="51" spans="1:27">
      <c r="A51" s="52">
        <v>45</v>
      </c>
      <c r="B51" s="3"/>
      <c r="C51" s="3"/>
      <c r="D51" s="3"/>
      <c r="E51" s="3"/>
      <c r="F51" s="3"/>
      <c r="G51" s="3"/>
      <c r="H51" s="3"/>
      <c r="I51" s="3"/>
      <c r="J51" s="3"/>
      <c r="K51" s="3"/>
      <c r="L51" s="3"/>
      <c r="M51" s="3"/>
      <c r="N51" s="3"/>
      <c r="O51" s="54"/>
      <c r="P51" s="52"/>
      <c r="Q51" s="6"/>
      <c r="R51" s="6"/>
      <c r="S51" s="6"/>
      <c r="T51" s="6"/>
      <c r="U51" s="54">
        <f t="shared" si="0"/>
        <v>0</v>
      </c>
      <c r="V51" s="52"/>
      <c r="W51" s="3"/>
      <c r="X51" s="3"/>
      <c r="Y51" s="58"/>
      <c r="Z51" s="41"/>
      <c r="AA51" s="41"/>
    </row>
    <row r="52" spans="1:27">
      <c r="A52" s="52">
        <v>46</v>
      </c>
      <c r="B52" s="3"/>
      <c r="C52" s="3"/>
      <c r="D52" s="3"/>
      <c r="E52" s="3"/>
      <c r="F52" s="3"/>
      <c r="G52" s="3"/>
      <c r="H52" s="3"/>
      <c r="I52" s="3"/>
      <c r="J52" s="3"/>
      <c r="K52" s="3"/>
      <c r="L52" s="3"/>
      <c r="M52" s="3"/>
      <c r="N52" s="3"/>
      <c r="O52" s="54"/>
      <c r="P52" s="52"/>
      <c r="Q52" s="6"/>
      <c r="R52" s="6"/>
      <c r="S52" s="6"/>
      <c r="T52" s="6"/>
      <c r="U52" s="54">
        <f t="shared" si="0"/>
        <v>0</v>
      </c>
      <c r="V52" s="52"/>
      <c r="W52" s="3"/>
      <c r="X52" s="3"/>
      <c r="Y52" s="58"/>
      <c r="Z52" s="41"/>
      <c r="AA52" s="41"/>
    </row>
    <row r="53" spans="1:27">
      <c r="A53" s="52">
        <v>47</v>
      </c>
      <c r="B53" s="3"/>
      <c r="C53" s="3"/>
      <c r="D53" s="3"/>
      <c r="E53" s="3"/>
      <c r="F53" s="3"/>
      <c r="G53" s="3"/>
      <c r="H53" s="3"/>
      <c r="I53" s="3"/>
      <c r="J53" s="3"/>
      <c r="K53" s="3"/>
      <c r="L53" s="3"/>
      <c r="M53" s="3"/>
      <c r="N53" s="3"/>
      <c r="O53" s="54"/>
      <c r="P53" s="52"/>
      <c r="Q53" s="6"/>
      <c r="R53" s="6"/>
      <c r="S53" s="6"/>
      <c r="T53" s="6"/>
      <c r="U53" s="54">
        <f t="shared" si="0"/>
        <v>0</v>
      </c>
      <c r="V53" s="52"/>
      <c r="W53" s="3"/>
      <c r="X53" s="3"/>
      <c r="Y53" s="58"/>
      <c r="Z53" s="41"/>
      <c r="AA53" s="41"/>
    </row>
    <row r="54" spans="1:27">
      <c r="A54" s="52">
        <v>48</v>
      </c>
      <c r="B54" s="3"/>
      <c r="C54" s="3"/>
      <c r="D54" s="3"/>
      <c r="E54" s="3"/>
      <c r="F54" s="3"/>
      <c r="G54" s="3"/>
      <c r="H54" s="3"/>
      <c r="I54" s="3"/>
      <c r="J54" s="3"/>
      <c r="K54" s="3"/>
      <c r="L54" s="3"/>
      <c r="M54" s="3"/>
      <c r="N54" s="3"/>
      <c r="O54" s="54"/>
      <c r="P54" s="52"/>
      <c r="Q54" s="6"/>
      <c r="R54" s="6"/>
      <c r="S54" s="6"/>
      <c r="T54" s="6"/>
      <c r="U54" s="54">
        <f t="shared" si="0"/>
        <v>0</v>
      </c>
      <c r="V54" s="52"/>
      <c r="W54" s="3"/>
      <c r="X54" s="3"/>
      <c r="Y54" s="58"/>
      <c r="Z54" s="41"/>
      <c r="AA54" s="41"/>
    </row>
    <row r="55" spans="1:27">
      <c r="A55" s="52">
        <v>49</v>
      </c>
      <c r="B55" s="3"/>
      <c r="C55" s="3"/>
      <c r="D55" s="3"/>
      <c r="E55" s="3"/>
      <c r="F55" s="3"/>
      <c r="G55" s="3"/>
      <c r="H55" s="3"/>
      <c r="I55" s="3"/>
      <c r="J55" s="3"/>
      <c r="K55" s="3"/>
      <c r="L55" s="3"/>
      <c r="M55" s="3"/>
      <c r="N55" s="3"/>
      <c r="O55" s="54"/>
      <c r="P55" s="52"/>
      <c r="Q55" s="6"/>
      <c r="R55" s="6"/>
      <c r="S55" s="6"/>
      <c r="T55" s="6"/>
      <c r="U55" s="54">
        <f t="shared" si="0"/>
        <v>0</v>
      </c>
      <c r="V55" s="52"/>
      <c r="W55" s="3"/>
      <c r="X55" s="3"/>
      <c r="Y55" s="58"/>
      <c r="Z55" s="41"/>
      <c r="AA55" s="41"/>
    </row>
    <row r="56" spans="1:27" ht="15" thickBot="1">
      <c r="A56" s="53">
        <v>50</v>
      </c>
      <c r="B56" s="55"/>
      <c r="C56" s="55"/>
      <c r="D56" s="55"/>
      <c r="E56" s="55"/>
      <c r="F56" s="55"/>
      <c r="G56" s="55"/>
      <c r="H56" s="55"/>
      <c r="I56" s="55"/>
      <c r="J56" s="55"/>
      <c r="K56" s="55"/>
      <c r="L56" s="55"/>
      <c r="M56" s="55"/>
      <c r="N56" s="55"/>
      <c r="O56" s="56"/>
      <c r="P56" s="53"/>
      <c r="Q56" s="38"/>
      <c r="R56" s="38"/>
      <c r="S56" s="38"/>
      <c r="T56" s="38"/>
      <c r="U56" s="56">
        <f t="shared" si="0"/>
        <v>0</v>
      </c>
      <c r="V56" s="53"/>
      <c r="W56" s="55"/>
      <c r="X56" s="55"/>
      <c r="Y56" s="59"/>
      <c r="Z56" s="42"/>
      <c r="AA56" s="42"/>
    </row>
    <row r="57" spans="1:2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row>
    <row r="58" spans="1:27">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row>
    <row r="59" spans="1:27">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row>
    <row r="60" spans="1:27">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row>
    <row r="61" spans="1:27">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row>
    <row r="62" spans="1:27">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row>
    <row r="63" spans="1:27">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row>
  </sheetData>
  <autoFilter ref="A6:AA6" xr:uid="{00000000-0009-0000-0000-000010000000}"/>
  <mergeCells count="7">
    <mergeCell ref="A1:AA1"/>
    <mergeCell ref="A3:G3"/>
    <mergeCell ref="E5:J5"/>
    <mergeCell ref="C5:D5"/>
    <mergeCell ref="Q5:T5"/>
    <mergeCell ref="X5:Y5"/>
    <mergeCell ref="V5:W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30"/>
  <sheetViews>
    <sheetView workbookViewId="0">
      <selection activeCell="AC24" sqref="AC24"/>
    </sheetView>
  </sheetViews>
  <sheetFormatPr baseColWidth="10" defaultRowHeight="14.5"/>
  <cols>
    <col min="3" max="4" width="12.81640625" customWidth="1"/>
    <col min="10" max="10" width="12.453125" customWidth="1"/>
    <col min="11" max="11" width="13" customWidth="1"/>
    <col min="17" max="17" width="12.7265625" customWidth="1"/>
    <col min="18" max="18" width="13.26953125" customWidth="1"/>
    <col min="24" max="24" width="5.1796875" customWidth="1"/>
    <col min="25" max="25" width="15.81640625" customWidth="1"/>
    <col min="26" max="26" width="16.453125" customWidth="1"/>
    <col min="27" max="27" width="16.26953125" customWidth="1"/>
    <col min="28" max="33" width="18.1796875" customWidth="1"/>
    <col min="34" max="34" width="20.453125" customWidth="1"/>
  </cols>
  <sheetData>
    <row r="1" spans="1:37" ht="15.5">
      <c r="A1" s="422" t="s">
        <v>176</v>
      </c>
      <c r="B1" s="422"/>
      <c r="C1" s="422"/>
      <c r="D1" s="422"/>
      <c r="E1" s="422"/>
      <c r="F1" s="422"/>
      <c r="G1" s="422"/>
      <c r="H1" s="422"/>
      <c r="I1" s="422"/>
      <c r="J1" s="422"/>
      <c r="K1" s="422"/>
      <c r="L1" s="422"/>
      <c r="M1" s="422"/>
      <c r="N1" s="422"/>
      <c r="O1" s="422"/>
      <c r="P1" s="422"/>
      <c r="Q1" s="422"/>
      <c r="R1" s="422"/>
      <c r="S1" s="422"/>
      <c r="T1" s="422"/>
      <c r="U1" s="422"/>
      <c r="V1" s="422"/>
      <c r="W1" s="422"/>
      <c r="X1" s="422"/>
      <c r="Y1" s="422"/>
      <c r="Z1" s="422"/>
      <c r="AA1" s="422"/>
      <c r="AB1" s="422"/>
      <c r="AC1" s="422"/>
      <c r="AD1" s="422"/>
      <c r="AE1" s="422"/>
      <c r="AF1" s="422"/>
      <c r="AG1" s="422"/>
      <c r="AH1" s="422"/>
      <c r="AI1" s="28"/>
      <c r="AJ1" s="28"/>
      <c r="AK1" s="28"/>
    </row>
    <row r="2" spans="1:37">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row>
    <row r="3" spans="1:37" ht="27.75" customHeight="1">
      <c r="A3" s="443" t="s">
        <v>313</v>
      </c>
      <c r="B3" s="443"/>
      <c r="C3" s="443"/>
      <c r="D3" s="443"/>
      <c r="E3" s="443"/>
      <c r="F3" s="443"/>
      <c r="G3" s="443"/>
      <c r="H3" s="443"/>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row>
    <row r="4" spans="1:37" ht="20.25" customHeight="1" thickBot="1">
      <c r="A4" s="422"/>
      <c r="B4" s="422"/>
      <c r="C4" s="422"/>
      <c r="D4" s="422"/>
      <c r="E4" s="422"/>
      <c r="F4" s="422"/>
      <c r="G4" s="422"/>
      <c r="H4" s="422"/>
      <c r="I4" s="422"/>
      <c r="J4" s="422"/>
      <c r="K4" s="422"/>
      <c r="L4" s="422"/>
      <c r="M4" s="422"/>
      <c r="N4" s="422"/>
      <c r="O4" s="422"/>
      <c r="P4" s="422"/>
      <c r="Q4" s="422"/>
      <c r="R4" s="422"/>
      <c r="S4" s="422"/>
      <c r="T4" s="422"/>
      <c r="U4" s="422"/>
      <c r="V4" s="422"/>
      <c r="W4" s="422"/>
      <c r="X4" s="422"/>
      <c r="Y4" s="422"/>
      <c r="Z4" s="422"/>
      <c r="AA4" s="422"/>
      <c r="AB4" s="422"/>
      <c r="AC4" s="422"/>
      <c r="AD4" s="422"/>
      <c r="AE4" s="422"/>
      <c r="AF4" s="422"/>
      <c r="AG4" s="422"/>
      <c r="AH4" s="422"/>
      <c r="AI4" s="28"/>
      <c r="AJ4" s="28"/>
      <c r="AK4" s="28"/>
    </row>
    <row r="5" spans="1:37" ht="35.25" customHeight="1" thickBot="1">
      <c r="A5" s="489" t="s">
        <v>530</v>
      </c>
      <c r="B5" s="490"/>
      <c r="C5" s="490"/>
      <c r="D5" s="490"/>
      <c r="E5" s="490"/>
      <c r="F5" s="490"/>
      <c r="G5" s="490"/>
      <c r="H5" s="490"/>
      <c r="I5" s="490"/>
      <c r="J5" s="490"/>
      <c r="K5" s="490"/>
      <c r="L5" s="490"/>
      <c r="M5" s="490"/>
      <c r="N5" s="490"/>
      <c r="O5" s="490"/>
      <c r="P5" s="490"/>
      <c r="Q5" s="490"/>
      <c r="R5" s="490"/>
      <c r="S5" s="490"/>
      <c r="T5" s="490"/>
      <c r="U5" s="490"/>
      <c r="V5" s="490"/>
      <c r="W5" s="490"/>
      <c r="X5" s="740"/>
      <c r="Y5" s="477" t="s">
        <v>538</v>
      </c>
      <c r="Z5" s="478"/>
      <c r="AA5" s="478"/>
      <c r="AB5" s="478"/>
      <c r="AC5" s="464" t="s">
        <v>534</v>
      </c>
      <c r="AD5" s="465"/>
      <c r="AE5" s="465"/>
      <c r="AF5" s="465"/>
      <c r="AG5" s="466"/>
      <c r="AH5" s="789" t="s">
        <v>0</v>
      </c>
      <c r="AI5" s="28"/>
      <c r="AJ5" s="28"/>
      <c r="AK5" s="28"/>
    </row>
    <row r="6" spans="1:37" ht="35.25" customHeight="1" thickBot="1">
      <c r="A6" s="472" t="s">
        <v>642</v>
      </c>
      <c r="B6" s="474" t="s">
        <v>531</v>
      </c>
      <c r="C6" s="475"/>
      <c r="D6" s="475"/>
      <c r="E6" s="475"/>
      <c r="F6" s="475"/>
      <c r="G6" s="475"/>
      <c r="H6" s="476"/>
      <c r="I6" s="482" t="s">
        <v>532</v>
      </c>
      <c r="J6" s="483"/>
      <c r="K6" s="483"/>
      <c r="L6" s="483"/>
      <c r="M6" s="483"/>
      <c r="N6" s="483"/>
      <c r="O6" s="483"/>
      <c r="P6" s="484" t="s">
        <v>533</v>
      </c>
      <c r="Q6" s="484"/>
      <c r="R6" s="484"/>
      <c r="S6" s="484"/>
      <c r="T6" s="484"/>
      <c r="U6" s="484"/>
      <c r="V6" s="777"/>
      <c r="W6" s="742" t="s">
        <v>40</v>
      </c>
      <c r="X6" s="743"/>
      <c r="Y6" s="479"/>
      <c r="Z6" s="737"/>
      <c r="AA6" s="737"/>
      <c r="AB6" s="737"/>
      <c r="AC6" s="467"/>
      <c r="AD6" s="738"/>
      <c r="AE6" s="738"/>
      <c r="AF6" s="738"/>
      <c r="AG6" s="468"/>
      <c r="AH6" s="790"/>
      <c r="AI6" s="28"/>
      <c r="AJ6" s="28"/>
      <c r="AK6" s="28"/>
    </row>
    <row r="7" spans="1:37" ht="65.25" customHeight="1">
      <c r="A7" s="472"/>
      <c r="B7" s="759" t="s">
        <v>133</v>
      </c>
      <c r="C7" s="756" t="s">
        <v>157</v>
      </c>
      <c r="D7" s="491"/>
      <c r="E7" s="492" t="s">
        <v>134</v>
      </c>
      <c r="F7" s="493"/>
      <c r="G7" s="493"/>
      <c r="H7" s="493"/>
      <c r="I7" s="665" t="s">
        <v>141</v>
      </c>
      <c r="J7" s="494" t="s">
        <v>157</v>
      </c>
      <c r="K7" s="488"/>
      <c r="L7" s="487" t="s">
        <v>134</v>
      </c>
      <c r="M7" s="494"/>
      <c r="N7" s="494"/>
      <c r="O7" s="494"/>
      <c r="P7" s="772" t="s">
        <v>142</v>
      </c>
      <c r="Q7" s="496" t="s">
        <v>157</v>
      </c>
      <c r="R7" s="497"/>
      <c r="S7" s="495" t="s">
        <v>134</v>
      </c>
      <c r="T7" s="496"/>
      <c r="U7" s="496"/>
      <c r="V7" s="496"/>
      <c r="W7" s="485"/>
      <c r="X7" s="486"/>
      <c r="Y7" s="480"/>
      <c r="Z7" s="481"/>
      <c r="AA7" s="481"/>
      <c r="AB7" s="481"/>
      <c r="AC7" s="469" t="s">
        <v>487</v>
      </c>
      <c r="AD7" s="470"/>
      <c r="AE7" s="470"/>
      <c r="AF7" s="470"/>
      <c r="AG7" s="471"/>
      <c r="AH7" s="790"/>
      <c r="AI7" s="28"/>
      <c r="AJ7" s="28"/>
      <c r="AK7" s="28"/>
    </row>
    <row r="8" spans="1:37" ht="45" customHeight="1" thickBot="1">
      <c r="A8" s="739"/>
      <c r="B8" s="760"/>
      <c r="C8" s="757" t="s">
        <v>139</v>
      </c>
      <c r="D8" s="744" t="s">
        <v>140</v>
      </c>
      <c r="E8" s="745" t="s">
        <v>135</v>
      </c>
      <c r="F8" s="746" t="s">
        <v>136</v>
      </c>
      <c r="G8" s="746" t="s">
        <v>137</v>
      </c>
      <c r="H8" s="764" t="s">
        <v>138</v>
      </c>
      <c r="I8" s="666"/>
      <c r="J8" s="766" t="s">
        <v>139</v>
      </c>
      <c r="K8" s="109" t="s">
        <v>140</v>
      </c>
      <c r="L8" s="747" t="s">
        <v>135</v>
      </c>
      <c r="M8" s="748" t="s">
        <v>136</v>
      </c>
      <c r="N8" s="748" t="s">
        <v>137</v>
      </c>
      <c r="O8" s="770" t="s">
        <v>138</v>
      </c>
      <c r="P8" s="773"/>
      <c r="Q8" s="771" t="s">
        <v>139</v>
      </c>
      <c r="R8" s="749" t="s">
        <v>140</v>
      </c>
      <c r="S8" s="750" t="s">
        <v>135</v>
      </c>
      <c r="T8" s="751" t="s">
        <v>136</v>
      </c>
      <c r="U8" s="751" t="s">
        <v>137</v>
      </c>
      <c r="V8" s="778" t="s">
        <v>138</v>
      </c>
      <c r="W8" s="752"/>
      <c r="X8" s="753"/>
      <c r="Y8" s="785" t="s">
        <v>146</v>
      </c>
      <c r="Z8" s="786" t="s">
        <v>143</v>
      </c>
      <c r="AA8" s="786" t="s">
        <v>144</v>
      </c>
      <c r="AB8" s="788" t="s">
        <v>145</v>
      </c>
      <c r="AC8" s="795" t="s">
        <v>147</v>
      </c>
      <c r="AD8" s="787" t="s">
        <v>148</v>
      </c>
      <c r="AE8" s="787" t="s">
        <v>149</v>
      </c>
      <c r="AF8" s="787" t="s">
        <v>150</v>
      </c>
      <c r="AG8" s="787" t="s">
        <v>151</v>
      </c>
      <c r="AH8" s="791"/>
      <c r="AI8" s="28"/>
      <c r="AJ8" s="28"/>
      <c r="AK8" s="28"/>
    </row>
    <row r="9" spans="1:37">
      <c r="A9" s="754" t="s">
        <v>614</v>
      </c>
      <c r="B9" s="761">
        <f>SUM(E9:H9)</f>
        <v>0</v>
      </c>
      <c r="C9" s="758"/>
      <c r="D9" s="741"/>
      <c r="E9" s="741"/>
      <c r="F9" s="741"/>
      <c r="G9" s="741"/>
      <c r="H9" s="765"/>
      <c r="I9" s="767">
        <f>SUM(L9:O9)</f>
        <v>0</v>
      </c>
      <c r="J9" s="758"/>
      <c r="K9" s="741"/>
      <c r="L9" s="741"/>
      <c r="M9" s="741"/>
      <c r="N9" s="741"/>
      <c r="O9" s="765"/>
      <c r="P9" s="774">
        <f>SUM(S9:V9)</f>
        <v>0</v>
      </c>
      <c r="Q9" s="758"/>
      <c r="R9" s="741"/>
      <c r="S9" s="741"/>
      <c r="T9" s="741"/>
      <c r="U9" s="741"/>
      <c r="V9" s="765"/>
      <c r="W9" s="779">
        <f>B9+I9+P9</f>
        <v>0</v>
      </c>
      <c r="X9" s="780"/>
      <c r="Y9" s="758"/>
      <c r="Z9" s="741"/>
      <c r="AA9" s="741"/>
      <c r="AB9" s="765"/>
      <c r="AC9" s="796"/>
      <c r="AD9" s="741"/>
      <c r="AE9" s="741"/>
      <c r="AF9" s="741"/>
      <c r="AG9" s="797"/>
      <c r="AH9" s="792"/>
      <c r="AI9" s="28"/>
      <c r="AJ9" s="28"/>
      <c r="AK9" s="28"/>
    </row>
    <row r="10" spans="1:37">
      <c r="A10" s="754" t="s">
        <v>612</v>
      </c>
      <c r="B10" s="762">
        <f t="shared" ref="B10:B13" si="0">SUM(E10:H10)</f>
        <v>0</v>
      </c>
      <c r="C10" s="733"/>
      <c r="D10" s="6"/>
      <c r="E10" s="6"/>
      <c r="F10" s="6"/>
      <c r="G10" s="6"/>
      <c r="H10" s="735"/>
      <c r="I10" s="768">
        <f t="shared" ref="I10:I13" si="1">SUM(L10:O10)</f>
        <v>0</v>
      </c>
      <c r="J10" s="733"/>
      <c r="K10" s="6"/>
      <c r="L10" s="6"/>
      <c r="M10" s="6"/>
      <c r="N10" s="6"/>
      <c r="O10" s="735"/>
      <c r="P10" s="775">
        <f t="shared" ref="P10:P13" si="2">SUM(S10:V10)</f>
        <v>0</v>
      </c>
      <c r="Q10" s="733"/>
      <c r="R10" s="6"/>
      <c r="S10" s="6"/>
      <c r="T10" s="6"/>
      <c r="U10" s="6"/>
      <c r="V10" s="735"/>
      <c r="W10" s="781">
        <f t="shared" ref="W10:W13" si="3">B10+I10+P10</f>
        <v>0</v>
      </c>
      <c r="X10" s="782"/>
      <c r="Y10" s="733"/>
      <c r="Z10" s="6"/>
      <c r="AA10" s="6"/>
      <c r="AB10" s="735"/>
      <c r="AC10" s="35"/>
      <c r="AD10" s="6"/>
      <c r="AE10" s="6"/>
      <c r="AF10" s="6"/>
      <c r="AG10" s="36"/>
      <c r="AH10" s="793"/>
      <c r="AI10" s="28"/>
      <c r="AJ10" s="28"/>
      <c r="AK10" s="28"/>
    </row>
    <row r="11" spans="1:37">
      <c r="A11" s="754" t="s">
        <v>610</v>
      </c>
      <c r="B11" s="762">
        <f t="shared" si="0"/>
        <v>0</v>
      </c>
      <c r="C11" s="733"/>
      <c r="D11" s="6"/>
      <c r="E11" s="6"/>
      <c r="F11" s="6"/>
      <c r="G11" s="6"/>
      <c r="H11" s="735"/>
      <c r="I11" s="768">
        <f t="shared" si="1"/>
        <v>0</v>
      </c>
      <c r="J11" s="733"/>
      <c r="K11" s="6"/>
      <c r="L11" s="6"/>
      <c r="M11" s="6"/>
      <c r="N11" s="6"/>
      <c r="O11" s="735"/>
      <c r="P11" s="775">
        <f t="shared" si="2"/>
        <v>0</v>
      </c>
      <c r="Q11" s="733"/>
      <c r="R11" s="6"/>
      <c r="S11" s="6"/>
      <c r="T11" s="6"/>
      <c r="U11" s="6"/>
      <c r="V11" s="735"/>
      <c r="W11" s="781">
        <f t="shared" si="3"/>
        <v>0</v>
      </c>
      <c r="X11" s="782"/>
      <c r="Y11" s="733"/>
      <c r="Z11" s="6"/>
      <c r="AA11" s="6"/>
      <c r="AB11" s="735"/>
      <c r="AC11" s="35"/>
      <c r="AD11" s="6"/>
      <c r="AE11" s="6"/>
      <c r="AF11" s="6"/>
      <c r="AG11" s="36"/>
      <c r="AH11" s="793"/>
      <c r="AI11" s="28"/>
      <c r="AJ11" s="28"/>
      <c r="AK11" s="28"/>
    </row>
    <row r="12" spans="1:37">
      <c r="A12" s="754" t="s">
        <v>608</v>
      </c>
      <c r="B12" s="762">
        <f t="shared" si="0"/>
        <v>0</v>
      </c>
      <c r="C12" s="733"/>
      <c r="D12" s="6"/>
      <c r="E12" s="6"/>
      <c r="F12" s="6"/>
      <c r="G12" s="6"/>
      <c r="H12" s="735"/>
      <c r="I12" s="768">
        <f t="shared" si="1"/>
        <v>0</v>
      </c>
      <c r="J12" s="733"/>
      <c r="K12" s="6"/>
      <c r="L12" s="6"/>
      <c r="M12" s="6"/>
      <c r="N12" s="6"/>
      <c r="O12" s="735"/>
      <c r="P12" s="775">
        <f t="shared" si="2"/>
        <v>0</v>
      </c>
      <c r="Q12" s="733"/>
      <c r="R12" s="6"/>
      <c r="S12" s="6"/>
      <c r="T12" s="6"/>
      <c r="U12" s="6"/>
      <c r="V12" s="735"/>
      <c r="W12" s="781">
        <f t="shared" si="3"/>
        <v>0</v>
      </c>
      <c r="X12" s="782"/>
      <c r="Y12" s="733"/>
      <c r="Z12" s="6"/>
      <c r="AA12" s="6"/>
      <c r="AB12" s="735"/>
      <c r="AC12" s="35"/>
      <c r="AD12" s="6"/>
      <c r="AE12" s="6"/>
      <c r="AF12" s="6"/>
      <c r="AG12" s="36"/>
      <c r="AH12" s="793"/>
      <c r="AI12" s="28"/>
      <c r="AJ12" s="28"/>
      <c r="AK12" s="28"/>
    </row>
    <row r="13" spans="1:37">
      <c r="A13" s="754" t="s">
        <v>606</v>
      </c>
      <c r="B13" s="762">
        <f t="shared" si="0"/>
        <v>0</v>
      </c>
      <c r="C13" s="733"/>
      <c r="D13" s="6"/>
      <c r="E13" s="6"/>
      <c r="F13" s="6"/>
      <c r="G13" s="6"/>
      <c r="H13" s="735"/>
      <c r="I13" s="768">
        <f t="shared" si="1"/>
        <v>0</v>
      </c>
      <c r="J13" s="733"/>
      <c r="K13" s="6"/>
      <c r="L13" s="6"/>
      <c r="M13" s="6"/>
      <c r="N13" s="6"/>
      <c r="O13" s="735"/>
      <c r="P13" s="775">
        <f t="shared" si="2"/>
        <v>0</v>
      </c>
      <c r="Q13" s="733"/>
      <c r="R13" s="6"/>
      <c r="S13" s="6"/>
      <c r="T13" s="6"/>
      <c r="U13" s="6"/>
      <c r="V13" s="735"/>
      <c r="W13" s="781">
        <f t="shared" si="3"/>
        <v>0</v>
      </c>
      <c r="X13" s="782"/>
      <c r="Y13" s="733"/>
      <c r="Z13" s="6"/>
      <c r="AA13" s="6"/>
      <c r="AB13" s="735"/>
      <c r="AC13" s="35"/>
      <c r="AD13" s="6"/>
      <c r="AE13" s="6"/>
      <c r="AF13" s="6"/>
      <c r="AG13" s="36"/>
      <c r="AH13" s="793"/>
      <c r="AI13" s="28"/>
      <c r="AJ13" s="28"/>
      <c r="AK13" s="28"/>
    </row>
    <row r="14" spans="1:37">
      <c r="A14" s="754" t="s">
        <v>604</v>
      </c>
      <c r="B14" s="762">
        <f t="shared" ref="B14:B18" si="4">SUM(E14:H14)</f>
        <v>0</v>
      </c>
      <c r="C14" s="733"/>
      <c r="D14" s="6"/>
      <c r="E14" s="6"/>
      <c r="F14" s="6"/>
      <c r="G14" s="6"/>
      <c r="H14" s="735"/>
      <c r="I14" s="768">
        <f t="shared" ref="I14:I18" si="5">SUM(L14:O14)</f>
        <v>0</v>
      </c>
      <c r="J14" s="733"/>
      <c r="K14" s="6"/>
      <c r="L14" s="6"/>
      <c r="M14" s="6"/>
      <c r="N14" s="6"/>
      <c r="O14" s="735"/>
      <c r="P14" s="775">
        <f t="shared" ref="P14:P18" si="6">SUM(S14:V14)</f>
        <v>0</v>
      </c>
      <c r="Q14" s="733"/>
      <c r="R14" s="6"/>
      <c r="S14" s="6"/>
      <c r="T14" s="6"/>
      <c r="U14" s="6"/>
      <c r="V14" s="735"/>
      <c r="W14" s="781">
        <f t="shared" ref="W14:W18" si="7">B14+I14+P14</f>
        <v>0</v>
      </c>
      <c r="X14" s="782"/>
      <c r="Y14" s="733"/>
      <c r="Z14" s="6"/>
      <c r="AA14" s="6"/>
      <c r="AB14" s="735"/>
      <c r="AC14" s="35"/>
      <c r="AD14" s="6"/>
      <c r="AE14" s="6"/>
      <c r="AF14" s="6"/>
      <c r="AG14" s="36"/>
      <c r="AH14" s="793"/>
      <c r="AI14" s="28"/>
      <c r="AJ14" s="28"/>
      <c r="AK14" s="28"/>
    </row>
    <row r="15" spans="1:37">
      <c r="A15" s="754" t="s">
        <v>602</v>
      </c>
      <c r="B15" s="762">
        <f t="shared" si="4"/>
        <v>0</v>
      </c>
      <c r="C15" s="733"/>
      <c r="D15" s="6"/>
      <c r="E15" s="6"/>
      <c r="F15" s="6"/>
      <c r="G15" s="6"/>
      <c r="H15" s="735"/>
      <c r="I15" s="768">
        <f t="shared" si="5"/>
        <v>0</v>
      </c>
      <c r="J15" s="733"/>
      <c r="K15" s="6"/>
      <c r="L15" s="6"/>
      <c r="M15" s="6"/>
      <c r="N15" s="6"/>
      <c r="O15" s="735"/>
      <c r="P15" s="775">
        <f t="shared" si="6"/>
        <v>0</v>
      </c>
      <c r="Q15" s="733"/>
      <c r="R15" s="6"/>
      <c r="S15" s="6"/>
      <c r="T15" s="6"/>
      <c r="U15" s="6"/>
      <c r="V15" s="735"/>
      <c r="W15" s="781">
        <f t="shared" si="7"/>
        <v>0</v>
      </c>
      <c r="X15" s="782"/>
      <c r="Y15" s="733"/>
      <c r="Z15" s="6"/>
      <c r="AA15" s="6"/>
      <c r="AB15" s="735"/>
      <c r="AC15" s="35"/>
      <c r="AD15" s="6"/>
      <c r="AE15" s="6"/>
      <c r="AF15" s="6"/>
      <c r="AG15" s="36"/>
      <c r="AH15" s="793"/>
      <c r="AI15" s="28"/>
      <c r="AJ15" s="28"/>
      <c r="AK15" s="28"/>
    </row>
    <row r="16" spans="1:37">
      <c r="A16" s="754" t="s">
        <v>600</v>
      </c>
      <c r="B16" s="762">
        <f t="shared" si="4"/>
        <v>0</v>
      </c>
      <c r="C16" s="733"/>
      <c r="D16" s="6"/>
      <c r="E16" s="6"/>
      <c r="F16" s="6"/>
      <c r="G16" s="6"/>
      <c r="H16" s="735"/>
      <c r="I16" s="768">
        <f t="shared" si="5"/>
        <v>0</v>
      </c>
      <c r="J16" s="733"/>
      <c r="K16" s="6"/>
      <c r="L16" s="6"/>
      <c r="M16" s="6"/>
      <c r="N16" s="6"/>
      <c r="O16" s="735"/>
      <c r="P16" s="775">
        <f t="shared" si="6"/>
        <v>0</v>
      </c>
      <c r="Q16" s="733"/>
      <c r="R16" s="6"/>
      <c r="S16" s="6"/>
      <c r="T16" s="6"/>
      <c r="U16" s="6"/>
      <c r="V16" s="735"/>
      <c r="W16" s="781">
        <f t="shared" si="7"/>
        <v>0</v>
      </c>
      <c r="X16" s="782"/>
      <c r="Y16" s="733"/>
      <c r="Z16" s="6"/>
      <c r="AA16" s="6"/>
      <c r="AB16" s="735"/>
      <c r="AC16" s="35"/>
      <c r="AD16" s="6"/>
      <c r="AE16" s="6"/>
      <c r="AF16" s="6"/>
      <c r="AG16" s="36"/>
      <c r="AH16" s="793"/>
      <c r="AI16" s="28"/>
      <c r="AJ16" s="28"/>
      <c r="AK16" s="28"/>
    </row>
    <row r="17" spans="1:37">
      <c r="A17" s="754" t="s">
        <v>598</v>
      </c>
      <c r="B17" s="762">
        <f t="shared" si="4"/>
        <v>0</v>
      </c>
      <c r="C17" s="733"/>
      <c r="D17" s="6"/>
      <c r="E17" s="6"/>
      <c r="F17" s="6"/>
      <c r="G17" s="6"/>
      <c r="H17" s="735"/>
      <c r="I17" s="768">
        <f t="shared" si="5"/>
        <v>0</v>
      </c>
      <c r="J17" s="733"/>
      <c r="K17" s="6"/>
      <c r="L17" s="6"/>
      <c r="M17" s="6"/>
      <c r="N17" s="6"/>
      <c r="O17" s="735"/>
      <c r="P17" s="775">
        <f t="shared" si="6"/>
        <v>0</v>
      </c>
      <c r="Q17" s="733"/>
      <c r="R17" s="6"/>
      <c r="S17" s="6"/>
      <c r="T17" s="6"/>
      <c r="U17" s="6"/>
      <c r="V17" s="735"/>
      <c r="W17" s="781">
        <f t="shared" si="7"/>
        <v>0</v>
      </c>
      <c r="X17" s="782"/>
      <c r="Y17" s="733"/>
      <c r="Z17" s="6"/>
      <c r="AA17" s="6"/>
      <c r="AB17" s="735"/>
      <c r="AC17" s="35"/>
      <c r="AD17" s="6"/>
      <c r="AE17" s="6"/>
      <c r="AF17" s="6"/>
      <c r="AG17" s="36"/>
      <c r="AH17" s="793"/>
      <c r="AI17" s="28"/>
      <c r="AJ17" s="28"/>
      <c r="AK17" s="28"/>
    </row>
    <row r="18" spans="1:37" ht="15" thickBot="1">
      <c r="A18" s="755" t="s">
        <v>596</v>
      </c>
      <c r="B18" s="763">
        <f t="shared" si="4"/>
        <v>0</v>
      </c>
      <c r="C18" s="734"/>
      <c r="D18" s="38"/>
      <c r="E18" s="38"/>
      <c r="F18" s="38"/>
      <c r="G18" s="38"/>
      <c r="H18" s="736"/>
      <c r="I18" s="769">
        <f t="shared" si="5"/>
        <v>0</v>
      </c>
      <c r="J18" s="734"/>
      <c r="K18" s="38"/>
      <c r="L18" s="38"/>
      <c r="M18" s="38"/>
      <c r="N18" s="38"/>
      <c r="O18" s="736"/>
      <c r="P18" s="776">
        <f t="shared" si="6"/>
        <v>0</v>
      </c>
      <c r="Q18" s="734"/>
      <c r="R18" s="38"/>
      <c r="S18" s="38"/>
      <c r="T18" s="38"/>
      <c r="U18" s="38"/>
      <c r="V18" s="736"/>
      <c r="W18" s="783">
        <f t="shared" si="7"/>
        <v>0</v>
      </c>
      <c r="X18" s="784"/>
      <c r="Y18" s="734"/>
      <c r="Z18" s="38"/>
      <c r="AA18" s="38"/>
      <c r="AB18" s="736"/>
      <c r="AC18" s="37"/>
      <c r="AD18" s="38"/>
      <c r="AE18" s="38"/>
      <c r="AF18" s="38"/>
      <c r="AG18" s="39"/>
      <c r="AH18" s="794"/>
      <c r="AI18" s="28"/>
      <c r="AJ18" s="28"/>
      <c r="AK18" s="28"/>
    </row>
    <row r="22" spans="1:37" ht="15.5">
      <c r="Y22" s="463"/>
      <c r="Z22" s="463"/>
      <c r="AA22" s="463"/>
      <c r="AB22" s="463"/>
      <c r="AC22" s="14"/>
      <c r="AD22" s="14"/>
      <c r="AE22" s="14"/>
      <c r="AF22" s="14"/>
      <c r="AG22" s="14"/>
    </row>
    <row r="23" spans="1:37" ht="15.5">
      <c r="Y23" s="463"/>
      <c r="Z23" s="463"/>
      <c r="AA23" s="463"/>
      <c r="AB23" s="463"/>
      <c r="AC23" s="14"/>
      <c r="AD23" s="14"/>
      <c r="AE23" s="14"/>
      <c r="AF23" s="14"/>
      <c r="AG23" s="14"/>
    </row>
    <row r="24" spans="1:37" ht="15.5">
      <c r="Y24" s="463"/>
      <c r="Z24" s="463"/>
      <c r="AA24" s="463"/>
      <c r="AB24" s="463"/>
      <c r="AC24" s="14"/>
      <c r="AD24" s="14"/>
      <c r="AE24" s="14"/>
      <c r="AF24" s="14"/>
      <c r="AG24" s="14"/>
    </row>
    <row r="25" spans="1:37">
      <c r="Y25" s="44"/>
      <c r="Z25" s="44"/>
      <c r="AA25" s="44"/>
      <c r="AB25" s="44"/>
      <c r="AC25" s="44"/>
      <c r="AD25" s="44"/>
      <c r="AE25" s="44"/>
      <c r="AF25" s="44"/>
      <c r="AG25" s="44"/>
    </row>
    <row r="26" spans="1:37">
      <c r="Y26" s="43"/>
      <c r="Z26" s="43"/>
      <c r="AA26" s="43"/>
      <c r="AB26" s="43"/>
      <c r="AC26" s="43"/>
      <c r="AD26" s="43"/>
      <c r="AE26" s="43"/>
      <c r="AF26" s="43"/>
      <c r="AG26" s="43"/>
    </row>
    <row r="27" spans="1:37">
      <c r="Y27" s="43"/>
      <c r="Z27" s="43"/>
      <c r="AA27" s="43"/>
      <c r="AB27" s="43"/>
      <c r="AC27" s="43"/>
      <c r="AD27" s="43"/>
      <c r="AE27" s="43"/>
      <c r="AF27" s="43"/>
      <c r="AG27" s="43"/>
    </row>
    <row r="28" spans="1:37">
      <c r="Y28" s="43"/>
      <c r="Z28" s="43"/>
      <c r="AA28" s="43"/>
      <c r="AB28" s="43"/>
      <c r="AC28" s="43"/>
      <c r="AD28" s="43"/>
      <c r="AE28" s="43"/>
      <c r="AF28" s="43"/>
      <c r="AG28" s="43"/>
    </row>
    <row r="29" spans="1:37">
      <c r="Y29" s="43"/>
      <c r="Z29" s="43"/>
      <c r="AA29" s="43"/>
      <c r="AB29" s="43"/>
      <c r="AC29" s="43"/>
      <c r="AD29" s="43"/>
      <c r="AE29" s="43"/>
      <c r="AF29" s="43"/>
      <c r="AG29" s="43"/>
    </row>
    <row r="30" spans="1:37">
      <c r="Y30" s="43"/>
      <c r="Z30" s="43"/>
      <c r="AA30" s="43"/>
      <c r="AB30" s="43"/>
      <c r="AC30" s="43"/>
      <c r="AD30" s="43"/>
      <c r="AE30" s="43"/>
      <c r="AF30" s="43"/>
      <c r="AG30" s="43"/>
    </row>
  </sheetData>
  <mergeCells count="33">
    <mergeCell ref="W14:X14"/>
    <mergeCell ref="W15:X15"/>
    <mergeCell ref="W16:X16"/>
    <mergeCell ref="W17:X17"/>
    <mergeCell ref="W18:X18"/>
    <mergeCell ref="A5:X5"/>
    <mergeCell ref="W9:X9"/>
    <mergeCell ref="W10:X10"/>
    <mergeCell ref="W11:X11"/>
    <mergeCell ref="C7:D7"/>
    <mergeCell ref="B7:B8"/>
    <mergeCell ref="E7:H7"/>
    <mergeCell ref="L7:O7"/>
    <mergeCell ref="S7:V7"/>
    <mergeCell ref="P7:P8"/>
    <mergeCell ref="Q7:R7"/>
    <mergeCell ref="I7:I8"/>
    <mergeCell ref="Y22:AB24"/>
    <mergeCell ref="W12:X12"/>
    <mergeCell ref="W13:X13"/>
    <mergeCell ref="A3:H3"/>
    <mergeCell ref="A1:AH1"/>
    <mergeCell ref="AC5:AG6"/>
    <mergeCell ref="AC7:AG7"/>
    <mergeCell ref="A4:AH4"/>
    <mergeCell ref="A6:A8"/>
    <mergeCell ref="B6:H6"/>
    <mergeCell ref="AH5:AH8"/>
    <mergeCell ref="Y5:AB7"/>
    <mergeCell ref="I6:O6"/>
    <mergeCell ref="P6:V6"/>
    <mergeCell ref="W6:X8"/>
    <mergeCell ref="J7:K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58"/>
  <sheetViews>
    <sheetView workbookViewId="0">
      <selection activeCell="J12" sqref="J12"/>
    </sheetView>
  </sheetViews>
  <sheetFormatPr baseColWidth="10" defaultRowHeight="14.5"/>
  <cols>
    <col min="1" max="1" width="3.81640625" customWidth="1"/>
    <col min="2" max="2" width="12.453125" customWidth="1"/>
    <col min="3" max="9" width="17.453125" customWidth="1"/>
    <col min="10" max="10" width="22.453125" customWidth="1"/>
    <col min="11" max="11" width="21.453125" customWidth="1"/>
    <col min="12" max="12" width="37.453125" customWidth="1"/>
    <col min="13" max="13" width="24.1796875" customWidth="1"/>
  </cols>
  <sheetData>
    <row r="1" spans="1:13" ht="24" customHeight="1">
      <c r="A1" s="63" t="s">
        <v>174</v>
      </c>
      <c r="B1" s="63"/>
      <c r="C1" s="63"/>
      <c r="D1" s="63"/>
      <c r="E1" s="63"/>
      <c r="F1" s="63"/>
      <c r="G1" s="63"/>
      <c r="H1" s="63"/>
      <c r="I1" s="63"/>
      <c r="J1" s="63"/>
      <c r="K1" s="63"/>
      <c r="L1" s="63"/>
      <c r="M1" s="64"/>
    </row>
    <row r="2" spans="1:13">
      <c r="A2" s="28"/>
      <c r="B2" s="28"/>
      <c r="C2" s="28"/>
      <c r="D2" s="28"/>
      <c r="E2" s="28"/>
      <c r="F2" s="28"/>
      <c r="G2" s="28"/>
      <c r="H2" s="28"/>
      <c r="I2" s="28"/>
      <c r="J2" s="28"/>
      <c r="K2" s="28"/>
      <c r="L2" s="28"/>
      <c r="M2" s="28"/>
    </row>
    <row r="3" spans="1:13">
      <c r="A3" s="28" t="s">
        <v>488</v>
      </c>
      <c r="B3" s="28"/>
      <c r="C3" s="28"/>
      <c r="D3" s="28"/>
      <c r="E3" s="28"/>
      <c r="F3" s="28"/>
      <c r="G3" s="28"/>
      <c r="H3" s="28"/>
      <c r="I3" s="28"/>
      <c r="J3" s="28"/>
      <c r="K3" s="28"/>
      <c r="L3" s="28"/>
      <c r="M3" s="28"/>
    </row>
    <row r="4" spans="1:13" ht="24" customHeight="1" thickBot="1">
      <c r="A4" s="63"/>
      <c r="B4" s="63"/>
      <c r="C4" s="63"/>
      <c r="D4" s="63"/>
      <c r="E4" s="63"/>
      <c r="F4" s="63"/>
      <c r="G4" s="63"/>
      <c r="H4" s="63"/>
      <c r="I4" s="63"/>
      <c r="J4" s="63"/>
      <c r="K4" s="63"/>
      <c r="L4" s="63"/>
      <c r="M4" s="64"/>
    </row>
    <row r="5" spans="1:13" ht="15.75" customHeight="1">
      <c r="A5" s="477" t="s">
        <v>173</v>
      </c>
      <c r="B5" s="478"/>
      <c r="C5" s="478"/>
      <c r="D5" s="478"/>
      <c r="E5" s="478"/>
      <c r="F5" s="478"/>
      <c r="G5" s="478"/>
      <c r="H5" s="502"/>
      <c r="I5" s="504" t="s">
        <v>158</v>
      </c>
      <c r="J5" s="505"/>
      <c r="K5" s="510" t="s">
        <v>264</v>
      </c>
      <c r="L5" s="511"/>
      <c r="M5" s="498" t="s">
        <v>121</v>
      </c>
    </row>
    <row r="6" spans="1:13" ht="15" customHeight="1">
      <c r="A6" s="480"/>
      <c r="B6" s="481"/>
      <c r="C6" s="481"/>
      <c r="D6" s="481"/>
      <c r="E6" s="481"/>
      <c r="F6" s="481"/>
      <c r="G6" s="481"/>
      <c r="H6" s="503"/>
      <c r="I6" s="506"/>
      <c r="J6" s="507"/>
      <c r="K6" s="512"/>
      <c r="L6" s="513"/>
      <c r="M6" s="499"/>
    </row>
    <row r="7" spans="1:13" ht="15" customHeight="1">
      <c r="A7" s="500" t="s">
        <v>29</v>
      </c>
      <c r="B7" s="34"/>
      <c r="C7" s="516" t="s">
        <v>30</v>
      </c>
      <c r="D7" s="516" t="s">
        <v>31</v>
      </c>
      <c r="E7" s="516" t="s">
        <v>94</v>
      </c>
      <c r="F7" s="516" t="s">
        <v>95</v>
      </c>
      <c r="G7" s="516" t="s">
        <v>36</v>
      </c>
      <c r="H7" s="516" t="s">
        <v>37</v>
      </c>
      <c r="I7" s="508"/>
      <c r="J7" s="509"/>
      <c r="K7" s="514"/>
      <c r="L7" s="515"/>
      <c r="M7" s="499"/>
    </row>
    <row r="8" spans="1:13" ht="57.75" customHeight="1">
      <c r="A8" s="501"/>
      <c r="B8" s="121" t="s">
        <v>175</v>
      </c>
      <c r="C8" s="516"/>
      <c r="D8" s="516"/>
      <c r="E8" s="516"/>
      <c r="F8" s="516"/>
      <c r="G8" s="516"/>
      <c r="H8" s="516"/>
      <c r="I8" s="120" t="s">
        <v>38</v>
      </c>
      <c r="J8" s="120" t="s">
        <v>132</v>
      </c>
      <c r="K8" s="4" t="s">
        <v>423</v>
      </c>
      <c r="L8" s="4" t="s">
        <v>159</v>
      </c>
      <c r="M8" s="499"/>
    </row>
    <row r="9" spans="1:13">
      <c r="A9" s="52">
        <v>1</v>
      </c>
      <c r="B9" s="40"/>
      <c r="C9" s="3"/>
      <c r="D9" s="3"/>
      <c r="E9" s="3"/>
      <c r="F9" s="3"/>
      <c r="G9" s="3"/>
      <c r="H9" s="54"/>
      <c r="I9" s="52"/>
      <c r="J9" s="54"/>
      <c r="K9" s="52"/>
      <c r="L9" s="58"/>
      <c r="M9" s="41"/>
    </row>
    <row r="10" spans="1:13">
      <c r="A10" s="52">
        <v>2</v>
      </c>
      <c r="B10" s="40"/>
      <c r="C10" s="3"/>
      <c r="D10" s="3"/>
      <c r="E10" s="3"/>
      <c r="F10" s="3"/>
      <c r="G10" s="3"/>
      <c r="H10" s="54"/>
      <c r="I10" s="52"/>
      <c r="J10" s="54"/>
      <c r="K10" s="52"/>
      <c r="L10" s="58"/>
      <c r="M10" s="41"/>
    </row>
    <row r="11" spans="1:13">
      <c r="A11" s="52">
        <v>3</v>
      </c>
      <c r="B11" s="40"/>
      <c r="C11" s="3"/>
      <c r="D11" s="3"/>
      <c r="E11" s="3"/>
      <c r="F11" s="3"/>
      <c r="G11" s="3"/>
      <c r="H11" s="54"/>
      <c r="I11" s="52"/>
      <c r="J11" s="54"/>
      <c r="K11" s="52"/>
      <c r="L11" s="58"/>
      <c r="M11" s="41"/>
    </row>
    <row r="12" spans="1:13">
      <c r="A12" s="52">
        <v>4</v>
      </c>
      <c r="B12" s="40"/>
      <c r="C12" s="3"/>
      <c r="D12" s="3"/>
      <c r="E12" s="3"/>
      <c r="F12" s="3"/>
      <c r="G12" s="3"/>
      <c r="H12" s="54"/>
      <c r="I12" s="52"/>
      <c r="J12" s="54"/>
      <c r="K12" s="52"/>
      <c r="L12" s="58"/>
      <c r="M12" s="41"/>
    </row>
    <row r="13" spans="1:13">
      <c r="A13" s="52">
        <v>5</v>
      </c>
      <c r="B13" s="40"/>
      <c r="C13" s="3"/>
      <c r="D13" s="3"/>
      <c r="E13" s="3"/>
      <c r="F13" s="3"/>
      <c r="G13" s="3"/>
      <c r="H13" s="54"/>
      <c r="I13" s="52"/>
      <c r="J13" s="54"/>
      <c r="K13" s="52"/>
      <c r="L13" s="58"/>
      <c r="M13" s="41"/>
    </row>
    <row r="14" spans="1:13">
      <c r="A14" s="52">
        <v>6</v>
      </c>
      <c r="B14" s="40"/>
      <c r="C14" s="3"/>
      <c r="D14" s="3"/>
      <c r="E14" s="3"/>
      <c r="F14" s="3"/>
      <c r="G14" s="3"/>
      <c r="H14" s="54"/>
      <c r="I14" s="52"/>
      <c r="J14" s="54"/>
      <c r="K14" s="52"/>
      <c r="L14" s="58"/>
      <c r="M14" s="41"/>
    </row>
    <row r="15" spans="1:13">
      <c r="A15" s="52">
        <v>7</v>
      </c>
      <c r="B15" s="40"/>
      <c r="C15" s="3"/>
      <c r="D15" s="3"/>
      <c r="E15" s="3"/>
      <c r="F15" s="3"/>
      <c r="G15" s="3"/>
      <c r="H15" s="54"/>
      <c r="I15" s="52"/>
      <c r="J15" s="54"/>
      <c r="K15" s="52"/>
      <c r="L15" s="58"/>
      <c r="M15" s="41"/>
    </row>
    <row r="16" spans="1:13">
      <c r="A16" s="52">
        <v>8</v>
      </c>
      <c r="B16" s="40"/>
      <c r="C16" s="3"/>
      <c r="D16" s="3"/>
      <c r="E16" s="3"/>
      <c r="F16" s="3"/>
      <c r="G16" s="3"/>
      <c r="H16" s="54"/>
      <c r="I16" s="52"/>
      <c r="J16" s="54"/>
      <c r="K16" s="52"/>
      <c r="L16" s="58"/>
      <c r="M16" s="41"/>
    </row>
    <row r="17" spans="1:13">
      <c r="A17" s="52">
        <v>9</v>
      </c>
      <c r="B17" s="40"/>
      <c r="C17" s="3"/>
      <c r="D17" s="3"/>
      <c r="E17" s="3"/>
      <c r="F17" s="3"/>
      <c r="G17" s="3"/>
      <c r="H17" s="54"/>
      <c r="I17" s="52"/>
      <c r="J17" s="54"/>
      <c r="K17" s="52"/>
      <c r="L17" s="58"/>
      <c r="M17" s="41"/>
    </row>
    <row r="18" spans="1:13">
      <c r="A18" s="52">
        <v>10</v>
      </c>
      <c r="B18" s="40"/>
      <c r="C18" s="3"/>
      <c r="D18" s="3"/>
      <c r="E18" s="3"/>
      <c r="F18" s="3"/>
      <c r="G18" s="3"/>
      <c r="H18" s="54"/>
      <c r="I18" s="52"/>
      <c r="J18" s="54"/>
      <c r="K18" s="52"/>
      <c r="L18" s="58"/>
      <c r="M18" s="41"/>
    </row>
    <row r="19" spans="1:13">
      <c r="A19" s="52">
        <v>11</v>
      </c>
      <c r="B19" s="40"/>
      <c r="C19" s="3"/>
      <c r="D19" s="3"/>
      <c r="E19" s="3"/>
      <c r="F19" s="3"/>
      <c r="G19" s="3"/>
      <c r="H19" s="54"/>
      <c r="I19" s="52"/>
      <c r="J19" s="54"/>
      <c r="K19" s="52"/>
      <c r="L19" s="58"/>
      <c r="M19" s="41"/>
    </row>
    <row r="20" spans="1:13">
      <c r="A20" s="52">
        <v>12</v>
      </c>
      <c r="B20" s="40"/>
      <c r="C20" s="3"/>
      <c r="D20" s="3"/>
      <c r="E20" s="3"/>
      <c r="F20" s="3"/>
      <c r="G20" s="3"/>
      <c r="H20" s="54"/>
      <c r="I20" s="52"/>
      <c r="J20" s="54"/>
      <c r="K20" s="52"/>
      <c r="L20" s="58"/>
      <c r="M20" s="41"/>
    </row>
    <row r="21" spans="1:13">
      <c r="A21" s="52">
        <v>13</v>
      </c>
      <c r="B21" s="40"/>
      <c r="C21" s="3"/>
      <c r="D21" s="3"/>
      <c r="E21" s="3"/>
      <c r="F21" s="3"/>
      <c r="G21" s="3"/>
      <c r="H21" s="54"/>
      <c r="I21" s="52"/>
      <c r="J21" s="54"/>
      <c r="K21" s="52"/>
      <c r="L21" s="58"/>
      <c r="M21" s="41"/>
    </row>
    <row r="22" spans="1:13">
      <c r="A22" s="52">
        <v>14</v>
      </c>
      <c r="B22" s="40"/>
      <c r="C22" s="3"/>
      <c r="D22" s="3"/>
      <c r="E22" s="3"/>
      <c r="F22" s="3"/>
      <c r="G22" s="3"/>
      <c r="H22" s="54"/>
      <c r="I22" s="52"/>
      <c r="J22" s="54"/>
      <c r="K22" s="52"/>
      <c r="L22" s="58"/>
      <c r="M22" s="41"/>
    </row>
    <row r="23" spans="1:13">
      <c r="A23" s="52">
        <v>15</v>
      </c>
      <c r="B23" s="40"/>
      <c r="C23" s="3"/>
      <c r="D23" s="3"/>
      <c r="E23" s="3"/>
      <c r="F23" s="3"/>
      <c r="G23" s="3"/>
      <c r="H23" s="54"/>
      <c r="I23" s="52"/>
      <c r="J23" s="54"/>
      <c r="K23" s="52"/>
      <c r="L23" s="58"/>
      <c r="M23" s="41"/>
    </row>
    <row r="24" spans="1:13">
      <c r="A24" s="52">
        <v>16</v>
      </c>
      <c r="B24" s="40"/>
      <c r="C24" s="3"/>
      <c r="D24" s="3"/>
      <c r="E24" s="3"/>
      <c r="F24" s="3"/>
      <c r="G24" s="3"/>
      <c r="H24" s="54"/>
      <c r="I24" s="52"/>
      <c r="J24" s="54"/>
      <c r="K24" s="52"/>
      <c r="L24" s="58"/>
      <c r="M24" s="41"/>
    </row>
    <row r="25" spans="1:13">
      <c r="A25" s="52">
        <v>17</v>
      </c>
      <c r="B25" s="40"/>
      <c r="C25" s="3"/>
      <c r="D25" s="3"/>
      <c r="E25" s="3"/>
      <c r="F25" s="3"/>
      <c r="G25" s="3"/>
      <c r="H25" s="54"/>
      <c r="I25" s="52"/>
      <c r="J25" s="54"/>
      <c r="K25" s="52"/>
      <c r="L25" s="58"/>
      <c r="M25" s="41"/>
    </row>
    <row r="26" spans="1:13">
      <c r="A26" s="52">
        <v>18</v>
      </c>
      <c r="B26" s="40"/>
      <c r="C26" s="3"/>
      <c r="D26" s="3"/>
      <c r="E26" s="3"/>
      <c r="F26" s="3"/>
      <c r="G26" s="3"/>
      <c r="H26" s="54"/>
      <c r="I26" s="52"/>
      <c r="J26" s="54"/>
      <c r="K26" s="52"/>
      <c r="L26" s="58"/>
      <c r="M26" s="41"/>
    </row>
    <row r="27" spans="1:13">
      <c r="A27" s="52">
        <v>19</v>
      </c>
      <c r="B27" s="40"/>
      <c r="C27" s="3"/>
      <c r="D27" s="3"/>
      <c r="E27" s="3"/>
      <c r="F27" s="3"/>
      <c r="G27" s="3"/>
      <c r="H27" s="54"/>
      <c r="I27" s="52"/>
      <c r="J27" s="54"/>
      <c r="K27" s="52"/>
      <c r="L27" s="58"/>
      <c r="M27" s="41"/>
    </row>
    <row r="28" spans="1:13">
      <c r="A28" s="52">
        <v>20</v>
      </c>
      <c r="B28" s="40"/>
      <c r="C28" s="3"/>
      <c r="D28" s="3"/>
      <c r="E28" s="3"/>
      <c r="F28" s="3"/>
      <c r="G28" s="3"/>
      <c r="H28" s="54"/>
      <c r="I28" s="52"/>
      <c r="J28" s="54"/>
      <c r="K28" s="52"/>
      <c r="L28" s="58"/>
      <c r="M28" s="41"/>
    </row>
    <row r="29" spans="1:13">
      <c r="A29" s="52">
        <v>21</v>
      </c>
      <c r="B29" s="40"/>
      <c r="C29" s="3"/>
      <c r="D29" s="3"/>
      <c r="E29" s="3"/>
      <c r="F29" s="3"/>
      <c r="G29" s="3"/>
      <c r="H29" s="54"/>
      <c r="I29" s="52"/>
      <c r="J29" s="54"/>
      <c r="K29" s="52"/>
      <c r="L29" s="58"/>
      <c r="M29" s="41"/>
    </row>
    <row r="30" spans="1:13">
      <c r="A30" s="52">
        <v>22</v>
      </c>
      <c r="B30" s="40"/>
      <c r="C30" s="3"/>
      <c r="D30" s="3"/>
      <c r="E30" s="3"/>
      <c r="F30" s="3"/>
      <c r="G30" s="3"/>
      <c r="H30" s="54"/>
      <c r="I30" s="52"/>
      <c r="J30" s="54"/>
      <c r="K30" s="52"/>
      <c r="L30" s="58"/>
      <c r="M30" s="41"/>
    </row>
    <row r="31" spans="1:13">
      <c r="A31" s="52">
        <v>23</v>
      </c>
      <c r="B31" s="40"/>
      <c r="C31" s="3"/>
      <c r="D31" s="3"/>
      <c r="E31" s="3"/>
      <c r="F31" s="3"/>
      <c r="G31" s="3"/>
      <c r="H31" s="54"/>
      <c r="I31" s="52"/>
      <c r="J31" s="54"/>
      <c r="K31" s="52"/>
      <c r="L31" s="58"/>
      <c r="M31" s="41"/>
    </row>
    <row r="32" spans="1:13">
      <c r="A32" s="52">
        <v>24</v>
      </c>
      <c r="B32" s="40"/>
      <c r="C32" s="3"/>
      <c r="D32" s="3"/>
      <c r="E32" s="3"/>
      <c r="F32" s="3"/>
      <c r="G32" s="3"/>
      <c r="H32" s="54"/>
      <c r="I32" s="52"/>
      <c r="J32" s="54"/>
      <c r="K32" s="52"/>
      <c r="L32" s="58"/>
      <c r="M32" s="41"/>
    </row>
    <row r="33" spans="1:13">
      <c r="A33" s="52">
        <v>25</v>
      </c>
      <c r="B33" s="40"/>
      <c r="C33" s="3"/>
      <c r="D33" s="3"/>
      <c r="E33" s="3"/>
      <c r="F33" s="3"/>
      <c r="G33" s="3"/>
      <c r="H33" s="54"/>
      <c r="I33" s="52"/>
      <c r="J33" s="54"/>
      <c r="K33" s="52"/>
      <c r="L33" s="58"/>
      <c r="M33" s="41"/>
    </row>
    <row r="34" spans="1:13">
      <c r="A34" s="52">
        <v>26</v>
      </c>
      <c r="B34" s="40"/>
      <c r="C34" s="3"/>
      <c r="D34" s="3"/>
      <c r="E34" s="3"/>
      <c r="F34" s="3"/>
      <c r="G34" s="3"/>
      <c r="H34" s="54"/>
      <c r="I34" s="52"/>
      <c r="J34" s="54"/>
      <c r="K34" s="52"/>
      <c r="L34" s="58"/>
      <c r="M34" s="41"/>
    </row>
    <row r="35" spans="1:13">
      <c r="A35" s="52">
        <v>27</v>
      </c>
      <c r="B35" s="40"/>
      <c r="C35" s="3"/>
      <c r="D35" s="3"/>
      <c r="E35" s="3"/>
      <c r="F35" s="3"/>
      <c r="G35" s="3"/>
      <c r="H35" s="54"/>
      <c r="I35" s="52"/>
      <c r="J35" s="54"/>
      <c r="K35" s="52"/>
      <c r="L35" s="58"/>
      <c r="M35" s="41"/>
    </row>
    <row r="36" spans="1:13">
      <c r="A36" s="52">
        <v>28</v>
      </c>
      <c r="B36" s="40"/>
      <c r="C36" s="3"/>
      <c r="D36" s="3"/>
      <c r="E36" s="3"/>
      <c r="F36" s="3"/>
      <c r="G36" s="3"/>
      <c r="H36" s="54"/>
      <c r="I36" s="52"/>
      <c r="J36" s="54"/>
      <c r="K36" s="52"/>
      <c r="L36" s="58"/>
      <c r="M36" s="41"/>
    </row>
    <row r="37" spans="1:13">
      <c r="A37" s="52">
        <v>29</v>
      </c>
      <c r="B37" s="40"/>
      <c r="C37" s="3"/>
      <c r="D37" s="3"/>
      <c r="E37" s="3"/>
      <c r="F37" s="3"/>
      <c r="G37" s="3"/>
      <c r="H37" s="54"/>
      <c r="I37" s="52"/>
      <c r="J37" s="54"/>
      <c r="K37" s="52"/>
      <c r="L37" s="58"/>
      <c r="M37" s="41"/>
    </row>
    <row r="38" spans="1:13">
      <c r="A38" s="52">
        <v>30</v>
      </c>
      <c r="B38" s="40"/>
      <c r="C38" s="3"/>
      <c r="D38" s="3"/>
      <c r="E38" s="3"/>
      <c r="F38" s="3"/>
      <c r="G38" s="3"/>
      <c r="H38" s="54"/>
      <c r="I38" s="52"/>
      <c r="J38" s="54"/>
      <c r="K38" s="52"/>
      <c r="L38" s="58"/>
      <c r="M38" s="41"/>
    </row>
    <row r="39" spans="1:13">
      <c r="A39" s="52">
        <v>31</v>
      </c>
      <c r="B39" s="40"/>
      <c r="C39" s="3"/>
      <c r="D39" s="3"/>
      <c r="E39" s="3"/>
      <c r="F39" s="3"/>
      <c r="G39" s="3"/>
      <c r="H39" s="54"/>
      <c r="I39" s="52"/>
      <c r="J39" s="54"/>
      <c r="K39" s="52"/>
      <c r="L39" s="58"/>
      <c r="M39" s="41"/>
    </row>
    <row r="40" spans="1:13">
      <c r="A40" s="52">
        <v>32</v>
      </c>
      <c r="B40" s="40"/>
      <c r="C40" s="3"/>
      <c r="D40" s="3"/>
      <c r="E40" s="3"/>
      <c r="F40" s="3"/>
      <c r="G40" s="3"/>
      <c r="H40" s="54"/>
      <c r="I40" s="52"/>
      <c r="J40" s="54"/>
      <c r="K40" s="52"/>
      <c r="L40" s="58"/>
      <c r="M40" s="41"/>
    </row>
    <row r="41" spans="1:13">
      <c r="A41" s="52">
        <v>33</v>
      </c>
      <c r="B41" s="40"/>
      <c r="C41" s="3"/>
      <c r="D41" s="3"/>
      <c r="E41" s="3"/>
      <c r="F41" s="3"/>
      <c r="G41" s="3"/>
      <c r="H41" s="54"/>
      <c r="I41" s="52"/>
      <c r="J41" s="54"/>
      <c r="K41" s="52"/>
      <c r="L41" s="58"/>
      <c r="M41" s="41"/>
    </row>
    <row r="42" spans="1:13">
      <c r="A42" s="52">
        <v>34</v>
      </c>
      <c r="B42" s="40"/>
      <c r="C42" s="3"/>
      <c r="D42" s="3"/>
      <c r="E42" s="3"/>
      <c r="F42" s="3"/>
      <c r="G42" s="3"/>
      <c r="H42" s="54"/>
      <c r="I42" s="52"/>
      <c r="J42" s="54"/>
      <c r="K42" s="52"/>
      <c r="L42" s="58"/>
      <c r="M42" s="41"/>
    </row>
    <row r="43" spans="1:13">
      <c r="A43" s="52">
        <v>35</v>
      </c>
      <c r="B43" s="40"/>
      <c r="C43" s="3"/>
      <c r="D43" s="3"/>
      <c r="E43" s="3"/>
      <c r="F43" s="3"/>
      <c r="G43" s="3"/>
      <c r="H43" s="54"/>
      <c r="I43" s="52"/>
      <c r="J43" s="54"/>
      <c r="K43" s="52"/>
      <c r="L43" s="58"/>
      <c r="M43" s="41"/>
    </row>
    <row r="44" spans="1:13">
      <c r="A44" s="52">
        <v>36</v>
      </c>
      <c r="B44" s="40"/>
      <c r="C44" s="3"/>
      <c r="D44" s="3"/>
      <c r="E44" s="3"/>
      <c r="F44" s="3"/>
      <c r="G44" s="3"/>
      <c r="H44" s="54"/>
      <c r="I44" s="52"/>
      <c r="J44" s="54"/>
      <c r="K44" s="52"/>
      <c r="L44" s="58"/>
      <c r="M44" s="41"/>
    </row>
    <row r="45" spans="1:13">
      <c r="A45" s="52">
        <v>37</v>
      </c>
      <c r="B45" s="40"/>
      <c r="C45" s="3"/>
      <c r="D45" s="3"/>
      <c r="E45" s="3"/>
      <c r="F45" s="3"/>
      <c r="G45" s="3"/>
      <c r="H45" s="54"/>
      <c r="I45" s="52"/>
      <c r="J45" s="54"/>
      <c r="K45" s="52"/>
      <c r="L45" s="58"/>
      <c r="M45" s="41"/>
    </row>
    <row r="46" spans="1:13">
      <c r="A46" s="52">
        <v>38</v>
      </c>
      <c r="B46" s="40"/>
      <c r="C46" s="3"/>
      <c r="D46" s="3"/>
      <c r="E46" s="3"/>
      <c r="F46" s="3"/>
      <c r="G46" s="3"/>
      <c r="H46" s="54"/>
      <c r="I46" s="52"/>
      <c r="J46" s="54"/>
      <c r="K46" s="52"/>
      <c r="L46" s="58"/>
      <c r="M46" s="41"/>
    </row>
    <row r="47" spans="1:13">
      <c r="A47" s="52">
        <v>39</v>
      </c>
      <c r="B47" s="40"/>
      <c r="C47" s="3"/>
      <c r="D47" s="3"/>
      <c r="E47" s="3"/>
      <c r="F47" s="3"/>
      <c r="G47" s="3"/>
      <c r="H47" s="54"/>
      <c r="I47" s="52"/>
      <c r="J47" s="54"/>
      <c r="K47" s="52"/>
      <c r="L47" s="58"/>
      <c r="M47" s="41"/>
    </row>
    <row r="48" spans="1:13">
      <c r="A48" s="52">
        <v>40</v>
      </c>
      <c r="B48" s="40"/>
      <c r="C48" s="3"/>
      <c r="D48" s="3"/>
      <c r="E48" s="3"/>
      <c r="F48" s="3"/>
      <c r="G48" s="3"/>
      <c r="H48" s="54"/>
      <c r="I48" s="52"/>
      <c r="J48" s="54"/>
      <c r="K48" s="52"/>
      <c r="L48" s="58"/>
      <c r="M48" s="41"/>
    </row>
    <row r="49" spans="1:13">
      <c r="A49" s="52">
        <v>41</v>
      </c>
      <c r="B49" s="40"/>
      <c r="C49" s="3"/>
      <c r="D49" s="3"/>
      <c r="E49" s="3"/>
      <c r="F49" s="3"/>
      <c r="G49" s="3"/>
      <c r="H49" s="54"/>
      <c r="I49" s="52"/>
      <c r="J49" s="54"/>
      <c r="K49" s="52"/>
      <c r="L49" s="58"/>
      <c r="M49" s="41"/>
    </row>
    <row r="50" spans="1:13">
      <c r="A50" s="52">
        <v>42</v>
      </c>
      <c r="B50" s="40"/>
      <c r="C50" s="3"/>
      <c r="D50" s="3"/>
      <c r="E50" s="3"/>
      <c r="F50" s="3"/>
      <c r="G50" s="3"/>
      <c r="H50" s="54"/>
      <c r="I50" s="52"/>
      <c r="J50" s="54"/>
      <c r="K50" s="52"/>
      <c r="L50" s="58"/>
      <c r="M50" s="41"/>
    </row>
    <row r="51" spans="1:13">
      <c r="A51" s="52">
        <v>43</v>
      </c>
      <c r="B51" s="40"/>
      <c r="C51" s="3"/>
      <c r="D51" s="3"/>
      <c r="E51" s="3"/>
      <c r="F51" s="3"/>
      <c r="G51" s="3"/>
      <c r="H51" s="54"/>
      <c r="I51" s="52"/>
      <c r="J51" s="54"/>
      <c r="K51" s="52"/>
      <c r="L51" s="58"/>
      <c r="M51" s="41"/>
    </row>
    <row r="52" spans="1:13">
      <c r="A52" s="52">
        <v>44</v>
      </c>
      <c r="B52" s="40"/>
      <c r="C52" s="3"/>
      <c r="D52" s="3"/>
      <c r="E52" s="3"/>
      <c r="F52" s="3"/>
      <c r="G52" s="3"/>
      <c r="H52" s="54"/>
      <c r="I52" s="52"/>
      <c r="J52" s="54"/>
      <c r="K52" s="52"/>
      <c r="L52" s="58"/>
      <c r="M52" s="41"/>
    </row>
    <row r="53" spans="1:13">
      <c r="A53" s="52">
        <v>45</v>
      </c>
      <c r="B53" s="40"/>
      <c r="C53" s="3"/>
      <c r="D53" s="3"/>
      <c r="E53" s="3"/>
      <c r="F53" s="3"/>
      <c r="G53" s="3"/>
      <c r="H53" s="54"/>
      <c r="I53" s="52"/>
      <c r="J53" s="54"/>
      <c r="K53" s="52"/>
      <c r="L53" s="58"/>
      <c r="M53" s="41"/>
    </row>
    <row r="54" spans="1:13">
      <c r="A54" s="52">
        <v>46</v>
      </c>
      <c r="B54" s="40"/>
      <c r="C54" s="3"/>
      <c r="D54" s="3"/>
      <c r="E54" s="3"/>
      <c r="F54" s="3"/>
      <c r="G54" s="3"/>
      <c r="H54" s="54"/>
      <c r="I54" s="52"/>
      <c r="J54" s="54"/>
      <c r="K54" s="52"/>
      <c r="L54" s="58"/>
      <c r="M54" s="41"/>
    </row>
    <row r="55" spans="1:13">
      <c r="A55" s="52">
        <v>47</v>
      </c>
      <c r="B55" s="40"/>
      <c r="C55" s="3"/>
      <c r="D55" s="3"/>
      <c r="E55" s="3"/>
      <c r="F55" s="3"/>
      <c r="G55" s="3"/>
      <c r="H55" s="54"/>
      <c r="I55" s="52"/>
      <c r="J55" s="54"/>
      <c r="K55" s="52"/>
      <c r="L55" s="58"/>
      <c r="M55" s="41"/>
    </row>
    <row r="56" spans="1:13">
      <c r="A56" s="52">
        <v>48</v>
      </c>
      <c r="B56" s="40"/>
      <c r="C56" s="3"/>
      <c r="D56" s="3"/>
      <c r="E56" s="3"/>
      <c r="F56" s="3"/>
      <c r="G56" s="3"/>
      <c r="H56" s="54"/>
      <c r="I56" s="52"/>
      <c r="J56" s="54"/>
      <c r="K56" s="52"/>
      <c r="L56" s="58"/>
      <c r="M56" s="41"/>
    </row>
    <row r="57" spans="1:13">
      <c r="A57" s="52">
        <v>49</v>
      </c>
      <c r="B57" s="40"/>
      <c r="C57" s="3"/>
      <c r="D57" s="3"/>
      <c r="E57" s="3"/>
      <c r="F57" s="3"/>
      <c r="G57" s="3"/>
      <c r="H57" s="54"/>
      <c r="I57" s="52"/>
      <c r="J57" s="54"/>
      <c r="K57" s="52"/>
      <c r="L57" s="58"/>
      <c r="M57" s="41"/>
    </row>
    <row r="58" spans="1:13" ht="15" thickBot="1">
      <c r="A58" s="53">
        <v>50</v>
      </c>
      <c r="B58" s="119"/>
      <c r="C58" s="55"/>
      <c r="D58" s="55"/>
      <c r="E58" s="55"/>
      <c r="F58" s="55"/>
      <c r="G58" s="55"/>
      <c r="H58" s="56"/>
      <c r="I58" s="53"/>
      <c r="J58" s="56"/>
      <c r="K58" s="53"/>
      <c r="L58" s="59"/>
      <c r="M58" s="42"/>
    </row>
  </sheetData>
  <autoFilter ref="A8:M8" xr:uid="{00000000-0009-0000-0000-000012000000}"/>
  <mergeCells count="11">
    <mergeCell ref="M5:M8"/>
    <mergeCell ref="A7:A8"/>
    <mergeCell ref="A5:H6"/>
    <mergeCell ref="I5:J7"/>
    <mergeCell ref="K5:L7"/>
    <mergeCell ref="C7:C8"/>
    <mergeCell ref="D7:D8"/>
    <mergeCell ref="E7:E8"/>
    <mergeCell ref="F7:F8"/>
    <mergeCell ref="G7:G8"/>
    <mergeCell ref="H7:H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6"/>
  <dimension ref="A1:S61"/>
  <sheetViews>
    <sheetView topLeftCell="A4" zoomScaleNormal="100" workbookViewId="0">
      <selection activeCell="N6" sqref="N6"/>
    </sheetView>
  </sheetViews>
  <sheetFormatPr baseColWidth="10" defaultRowHeight="14.5"/>
  <cols>
    <col min="1" max="1" width="5.1796875" customWidth="1"/>
    <col min="2" max="2" width="8.453125" customWidth="1"/>
    <col min="3" max="3" width="20.81640625" customWidth="1"/>
    <col min="4" max="4" width="33.26953125" customWidth="1"/>
    <col min="5" max="6" width="27" customWidth="1"/>
    <col min="7" max="8" width="26" customWidth="1"/>
    <col min="9" max="9" width="9.26953125" customWidth="1"/>
    <col min="10" max="10" width="9.453125" customWidth="1"/>
    <col min="11" max="11" width="10.453125" customWidth="1"/>
    <col min="12" max="12" width="16" customWidth="1"/>
    <col min="13" max="13" width="16.81640625" customWidth="1"/>
    <col min="14" max="14" width="22.1796875" customWidth="1"/>
    <col min="15" max="15" width="20.26953125" customWidth="1"/>
    <col min="16" max="16" width="22.26953125" customWidth="1"/>
  </cols>
  <sheetData>
    <row r="1" spans="1:19" ht="18" customHeight="1">
      <c r="A1" s="520" t="s">
        <v>402</v>
      </c>
      <c r="B1" s="520"/>
      <c r="C1" s="520"/>
      <c r="D1" s="520"/>
      <c r="E1" s="520"/>
      <c r="F1" s="520"/>
      <c r="G1" s="520"/>
      <c r="H1" s="290"/>
      <c r="I1" s="28"/>
      <c r="J1" s="28"/>
      <c r="K1" s="28"/>
      <c r="L1" s="28"/>
      <c r="M1" s="28"/>
      <c r="N1" s="28"/>
      <c r="O1" s="28"/>
      <c r="P1" s="64"/>
      <c r="Q1" s="28"/>
      <c r="R1" s="28"/>
      <c r="S1" s="28"/>
    </row>
    <row r="2" spans="1:19" ht="12" customHeight="1">
      <c r="A2" s="98"/>
      <c r="B2" s="98"/>
      <c r="C2" s="28"/>
      <c r="D2" s="28"/>
      <c r="E2" s="28"/>
      <c r="F2" s="28"/>
      <c r="G2" s="28"/>
      <c r="H2" s="28"/>
      <c r="I2" s="28"/>
      <c r="J2" s="28"/>
      <c r="K2" s="28"/>
      <c r="L2" s="28"/>
      <c r="M2" s="28"/>
      <c r="N2" s="28"/>
      <c r="O2" s="28"/>
      <c r="P2" s="64"/>
      <c r="Q2" s="28"/>
      <c r="R2" s="28"/>
      <c r="S2" s="28"/>
    </row>
    <row r="3" spans="1:19" s="141" customFormat="1" ht="52.5" customHeight="1">
      <c r="A3" s="521" t="s">
        <v>318</v>
      </c>
      <c r="B3" s="521"/>
      <c r="C3" s="521"/>
      <c r="D3" s="521"/>
      <c r="E3" s="521"/>
      <c r="F3" s="521"/>
      <c r="G3" s="521"/>
      <c r="H3" s="289"/>
    </row>
    <row r="4" spans="1:19" ht="15.5">
      <c r="A4" s="98"/>
      <c r="B4" s="98"/>
      <c r="C4" s="28"/>
      <c r="D4" s="28"/>
      <c r="E4" s="28"/>
      <c r="F4" s="28"/>
      <c r="G4" s="28"/>
      <c r="H4" s="28"/>
      <c r="I4" s="28"/>
      <c r="J4" s="28"/>
      <c r="K4" s="28"/>
      <c r="L4" s="28"/>
      <c r="M4" s="28"/>
      <c r="N4" s="28"/>
      <c r="O4" s="28"/>
      <c r="P4" s="64"/>
      <c r="Q4" s="28"/>
      <c r="R4" s="28"/>
      <c r="S4" s="28"/>
    </row>
    <row r="5" spans="1:19" ht="64.5" customHeight="1">
      <c r="A5" s="141"/>
      <c r="B5" s="141"/>
      <c r="C5" s="517" t="s">
        <v>317</v>
      </c>
      <c r="D5" s="517"/>
      <c r="E5" s="522" t="s">
        <v>425</v>
      </c>
      <c r="F5" s="523"/>
      <c r="G5" s="523"/>
      <c r="H5" s="524"/>
      <c r="I5" s="518" t="s">
        <v>424</v>
      </c>
      <c r="J5" s="518"/>
      <c r="K5" s="518"/>
      <c r="L5" s="519" t="s">
        <v>489</v>
      </c>
      <c r="M5" s="519"/>
      <c r="N5" s="519"/>
      <c r="O5" s="519"/>
      <c r="P5" s="141"/>
      <c r="Q5" s="28"/>
      <c r="R5" s="28"/>
      <c r="S5" s="28"/>
    </row>
    <row r="6" spans="1:19" ht="72.5">
      <c r="A6" s="189" t="s">
        <v>29</v>
      </c>
      <c r="B6" s="189" t="s">
        <v>316</v>
      </c>
      <c r="C6" s="189" t="s">
        <v>30</v>
      </c>
      <c r="D6" s="189" t="s">
        <v>31</v>
      </c>
      <c r="E6" s="192" t="s">
        <v>314</v>
      </c>
      <c r="F6" s="192" t="s">
        <v>315</v>
      </c>
      <c r="G6" s="192" t="s">
        <v>162</v>
      </c>
      <c r="H6" s="192" t="s">
        <v>163</v>
      </c>
      <c r="I6" s="250" t="s">
        <v>161</v>
      </c>
      <c r="J6" s="250" t="s">
        <v>166</v>
      </c>
      <c r="K6" s="250" t="s">
        <v>167</v>
      </c>
      <c r="L6" s="251" t="s">
        <v>164</v>
      </c>
      <c r="M6" s="140" t="s">
        <v>165</v>
      </c>
      <c r="N6" s="252" t="s">
        <v>426</v>
      </c>
      <c r="O6" s="252" t="s">
        <v>160</v>
      </c>
      <c r="P6" s="29" t="s">
        <v>0</v>
      </c>
      <c r="Q6" s="28"/>
      <c r="R6" s="28"/>
      <c r="S6" s="28"/>
    </row>
    <row r="7" spans="1:19">
      <c r="A7" s="67">
        <v>1</v>
      </c>
      <c r="B7" s="65"/>
      <c r="C7" s="68"/>
      <c r="D7" s="249"/>
      <c r="E7" s="65"/>
      <c r="F7" s="65"/>
      <c r="G7" s="68"/>
      <c r="H7" s="68"/>
      <c r="I7" s="68"/>
      <c r="J7" s="68"/>
      <c r="K7" s="68"/>
      <c r="L7" s="67"/>
      <c r="M7" s="68"/>
      <c r="N7" s="68"/>
      <c r="O7" s="76"/>
      <c r="P7" s="139"/>
      <c r="Q7" s="28"/>
      <c r="R7" s="28"/>
      <c r="S7" s="28"/>
    </row>
    <row r="8" spans="1:19">
      <c r="A8" s="52">
        <v>2</v>
      </c>
      <c r="B8" s="40"/>
      <c r="C8" s="3"/>
      <c r="D8" s="54"/>
      <c r="E8" s="40"/>
      <c r="F8" s="40"/>
      <c r="G8" s="3"/>
      <c r="H8" s="288"/>
      <c r="I8" s="3"/>
      <c r="J8" s="3"/>
      <c r="K8" s="3"/>
      <c r="L8" s="52"/>
      <c r="M8" s="3"/>
      <c r="N8" s="3"/>
      <c r="O8" s="58"/>
      <c r="P8" s="41"/>
      <c r="Q8" s="28"/>
      <c r="R8" s="28"/>
      <c r="S8" s="28"/>
    </row>
    <row r="9" spans="1:19">
      <c r="A9" s="52">
        <v>3</v>
      </c>
      <c r="B9" s="40"/>
      <c r="C9" s="3"/>
      <c r="D9" s="54"/>
      <c r="E9" s="40"/>
      <c r="F9" s="40"/>
      <c r="G9" s="3"/>
      <c r="H9" s="288"/>
      <c r="I9" s="3"/>
      <c r="J9" s="3"/>
      <c r="K9" s="3"/>
      <c r="L9" s="52"/>
      <c r="M9" s="3"/>
      <c r="N9" s="3"/>
      <c r="O9" s="58"/>
      <c r="P9" s="41"/>
      <c r="Q9" s="28"/>
      <c r="R9" s="28"/>
      <c r="S9" s="28"/>
    </row>
    <row r="10" spans="1:19">
      <c r="A10" s="52">
        <v>4</v>
      </c>
      <c r="B10" s="40"/>
      <c r="C10" s="3"/>
      <c r="D10" s="54"/>
      <c r="E10" s="40"/>
      <c r="F10" s="40"/>
      <c r="G10" s="3"/>
      <c r="H10" s="288"/>
      <c r="I10" s="3"/>
      <c r="J10" s="3"/>
      <c r="K10" s="3"/>
      <c r="L10" s="52"/>
      <c r="M10" s="3"/>
      <c r="N10" s="3"/>
      <c r="O10" s="58"/>
      <c r="P10" s="41"/>
      <c r="Q10" s="28"/>
      <c r="R10" s="28"/>
      <c r="S10" s="28"/>
    </row>
    <row r="11" spans="1:19">
      <c r="A11" s="52">
        <v>5</v>
      </c>
      <c r="B11" s="40"/>
      <c r="C11" s="3"/>
      <c r="D11" s="54"/>
      <c r="E11" s="40"/>
      <c r="F11" s="40"/>
      <c r="G11" s="3"/>
      <c r="H11" s="288"/>
      <c r="I11" s="3"/>
      <c r="J11" s="3"/>
      <c r="K11" s="3"/>
      <c r="L11" s="52"/>
      <c r="M11" s="3"/>
      <c r="N11" s="3"/>
      <c r="O11" s="58"/>
      <c r="P11" s="41"/>
      <c r="Q11" s="28"/>
      <c r="R11" s="28"/>
      <c r="S11" s="28"/>
    </row>
    <row r="12" spans="1:19">
      <c r="A12" s="52">
        <v>6</v>
      </c>
      <c r="B12" s="40"/>
      <c r="C12" s="3"/>
      <c r="D12" s="54"/>
      <c r="E12" s="40"/>
      <c r="F12" s="40"/>
      <c r="G12" s="3"/>
      <c r="H12" s="288"/>
      <c r="I12" s="3"/>
      <c r="J12" s="3"/>
      <c r="K12" s="3"/>
      <c r="L12" s="52"/>
      <c r="M12" s="3"/>
      <c r="N12" s="3"/>
      <c r="O12" s="58"/>
      <c r="P12" s="41"/>
      <c r="Q12" s="28"/>
      <c r="R12" s="28"/>
      <c r="S12" s="28"/>
    </row>
    <row r="13" spans="1:19">
      <c r="A13" s="52">
        <v>7</v>
      </c>
      <c r="B13" s="40"/>
      <c r="C13" s="3"/>
      <c r="D13" s="54"/>
      <c r="E13" s="40"/>
      <c r="F13" s="40"/>
      <c r="G13" s="3"/>
      <c r="H13" s="288"/>
      <c r="I13" s="3"/>
      <c r="J13" s="3"/>
      <c r="K13" s="3"/>
      <c r="L13" s="52"/>
      <c r="M13" s="3"/>
      <c r="N13" s="3"/>
      <c r="O13" s="58"/>
      <c r="P13" s="41"/>
      <c r="Q13" s="28"/>
      <c r="R13" s="28"/>
      <c r="S13" s="28"/>
    </row>
    <row r="14" spans="1:19">
      <c r="A14" s="52">
        <v>8</v>
      </c>
      <c r="B14" s="40"/>
      <c r="C14" s="3"/>
      <c r="D14" s="54"/>
      <c r="E14" s="40"/>
      <c r="F14" s="40"/>
      <c r="G14" s="3"/>
      <c r="H14" s="288"/>
      <c r="I14" s="3"/>
      <c r="J14" s="3"/>
      <c r="K14" s="3"/>
      <c r="L14" s="52"/>
      <c r="M14" s="3"/>
      <c r="N14" s="3"/>
      <c r="O14" s="58"/>
      <c r="P14" s="41"/>
      <c r="Q14" s="28"/>
      <c r="R14" s="28"/>
      <c r="S14" s="28"/>
    </row>
    <row r="15" spans="1:19">
      <c r="A15" s="52">
        <v>9</v>
      </c>
      <c r="B15" s="40"/>
      <c r="C15" s="3"/>
      <c r="D15" s="54"/>
      <c r="E15" s="40"/>
      <c r="F15" s="40"/>
      <c r="G15" s="3"/>
      <c r="H15" s="288"/>
      <c r="I15" s="3"/>
      <c r="J15" s="3"/>
      <c r="K15" s="3"/>
      <c r="L15" s="52"/>
      <c r="M15" s="3"/>
      <c r="N15" s="3"/>
      <c r="O15" s="58"/>
      <c r="P15" s="41"/>
      <c r="Q15" s="28"/>
      <c r="R15" s="28"/>
      <c r="S15" s="28"/>
    </row>
    <row r="16" spans="1:19">
      <c r="A16" s="52">
        <v>10</v>
      </c>
      <c r="B16" s="40"/>
      <c r="C16" s="3"/>
      <c r="D16" s="54"/>
      <c r="E16" s="40"/>
      <c r="F16" s="40"/>
      <c r="G16" s="3"/>
      <c r="H16" s="288"/>
      <c r="I16" s="3"/>
      <c r="J16" s="3"/>
      <c r="K16" s="3"/>
      <c r="L16" s="52"/>
      <c r="M16" s="3"/>
      <c r="N16" s="3"/>
      <c r="O16" s="58"/>
      <c r="P16" s="41"/>
      <c r="Q16" s="28"/>
      <c r="R16" s="28"/>
      <c r="S16" s="28"/>
    </row>
    <row r="17" spans="1:19">
      <c r="A17" s="52">
        <v>11</v>
      </c>
      <c r="B17" s="40"/>
      <c r="C17" s="3"/>
      <c r="D17" s="54"/>
      <c r="E17" s="40"/>
      <c r="F17" s="40"/>
      <c r="G17" s="3"/>
      <c r="H17" s="288"/>
      <c r="I17" s="3"/>
      <c r="J17" s="3"/>
      <c r="K17" s="3"/>
      <c r="L17" s="52"/>
      <c r="M17" s="3"/>
      <c r="N17" s="3"/>
      <c r="O17" s="58"/>
      <c r="P17" s="41"/>
      <c r="Q17" s="28"/>
      <c r="R17" s="28"/>
      <c r="S17" s="28"/>
    </row>
    <row r="18" spans="1:19">
      <c r="A18" s="52">
        <v>12</v>
      </c>
      <c r="B18" s="40"/>
      <c r="C18" s="3"/>
      <c r="D18" s="54"/>
      <c r="E18" s="40"/>
      <c r="F18" s="40"/>
      <c r="G18" s="3"/>
      <c r="H18" s="288"/>
      <c r="I18" s="3"/>
      <c r="J18" s="3"/>
      <c r="K18" s="3"/>
      <c r="L18" s="52"/>
      <c r="M18" s="3"/>
      <c r="N18" s="3"/>
      <c r="O18" s="58"/>
      <c r="P18" s="41"/>
      <c r="Q18" s="28"/>
      <c r="R18" s="28"/>
      <c r="S18" s="28"/>
    </row>
    <row r="19" spans="1:19">
      <c r="A19" s="52">
        <v>13</v>
      </c>
      <c r="B19" s="40"/>
      <c r="C19" s="3"/>
      <c r="D19" s="54"/>
      <c r="E19" s="40"/>
      <c r="F19" s="40"/>
      <c r="G19" s="3"/>
      <c r="H19" s="288"/>
      <c r="I19" s="3"/>
      <c r="J19" s="3"/>
      <c r="K19" s="3"/>
      <c r="L19" s="52"/>
      <c r="M19" s="3"/>
      <c r="N19" s="3"/>
      <c r="O19" s="58"/>
      <c r="P19" s="41"/>
      <c r="Q19" s="28"/>
      <c r="R19" s="28"/>
      <c r="S19" s="28"/>
    </row>
    <row r="20" spans="1:19">
      <c r="A20" s="52">
        <v>14</v>
      </c>
      <c r="B20" s="40"/>
      <c r="C20" s="3"/>
      <c r="D20" s="54"/>
      <c r="E20" s="40"/>
      <c r="F20" s="40"/>
      <c r="G20" s="3"/>
      <c r="H20" s="288"/>
      <c r="I20" s="3"/>
      <c r="J20" s="3"/>
      <c r="K20" s="3"/>
      <c r="L20" s="52"/>
      <c r="M20" s="3"/>
      <c r="N20" s="3"/>
      <c r="O20" s="58"/>
      <c r="P20" s="41"/>
      <c r="Q20" s="28"/>
      <c r="R20" s="28"/>
      <c r="S20" s="28"/>
    </row>
    <row r="21" spans="1:19">
      <c r="A21" s="52">
        <v>15</v>
      </c>
      <c r="B21" s="40"/>
      <c r="C21" s="3"/>
      <c r="D21" s="54"/>
      <c r="E21" s="40"/>
      <c r="F21" s="40"/>
      <c r="G21" s="3"/>
      <c r="H21" s="288"/>
      <c r="I21" s="3"/>
      <c r="J21" s="3"/>
      <c r="K21" s="3"/>
      <c r="L21" s="52"/>
      <c r="M21" s="3"/>
      <c r="N21" s="3"/>
      <c r="O21" s="58"/>
      <c r="P21" s="41"/>
      <c r="Q21" s="28"/>
      <c r="R21" s="28"/>
      <c r="S21" s="28"/>
    </row>
    <row r="22" spans="1:19">
      <c r="A22" s="52">
        <v>16</v>
      </c>
      <c r="B22" s="40"/>
      <c r="C22" s="3"/>
      <c r="D22" s="54"/>
      <c r="E22" s="40"/>
      <c r="F22" s="40"/>
      <c r="G22" s="3"/>
      <c r="H22" s="288"/>
      <c r="I22" s="3"/>
      <c r="J22" s="3"/>
      <c r="K22" s="3"/>
      <c r="L22" s="52"/>
      <c r="M22" s="3"/>
      <c r="N22" s="3"/>
      <c r="O22" s="58"/>
      <c r="P22" s="41"/>
      <c r="Q22" s="28"/>
      <c r="R22" s="28"/>
      <c r="S22" s="28"/>
    </row>
    <row r="23" spans="1:19">
      <c r="A23" s="52">
        <v>17</v>
      </c>
      <c r="B23" s="40"/>
      <c r="C23" s="3"/>
      <c r="D23" s="54"/>
      <c r="E23" s="40"/>
      <c r="F23" s="40"/>
      <c r="G23" s="3"/>
      <c r="H23" s="288"/>
      <c r="I23" s="3"/>
      <c r="J23" s="3"/>
      <c r="K23" s="3"/>
      <c r="L23" s="52"/>
      <c r="M23" s="3"/>
      <c r="N23" s="3"/>
      <c r="O23" s="58"/>
      <c r="P23" s="41"/>
      <c r="Q23" s="28"/>
      <c r="R23" s="28"/>
      <c r="S23" s="28"/>
    </row>
    <row r="24" spans="1:19">
      <c r="A24" s="52">
        <v>18</v>
      </c>
      <c r="B24" s="40"/>
      <c r="C24" s="3"/>
      <c r="D24" s="54"/>
      <c r="E24" s="40"/>
      <c r="F24" s="40"/>
      <c r="G24" s="3"/>
      <c r="H24" s="288"/>
      <c r="I24" s="3"/>
      <c r="J24" s="3"/>
      <c r="K24" s="3"/>
      <c r="L24" s="52"/>
      <c r="M24" s="3"/>
      <c r="N24" s="3"/>
      <c r="O24" s="58"/>
      <c r="P24" s="41"/>
      <c r="Q24" s="28"/>
      <c r="R24" s="28"/>
      <c r="S24" s="28"/>
    </row>
    <row r="25" spans="1:19">
      <c r="A25" s="52">
        <v>19</v>
      </c>
      <c r="B25" s="40"/>
      <c r="C25" s="3"/>
      <c r="D25" s="54"/>
      <c r="E25" s="40"/>
      <c r="F25" s="40"/>
      <c r="G25" s="3"/>
      <c r="H25" s="288"/>
      <c r="I25" s="3"/>
      <c r="J25" s="3"/>
      <c r="K25" s="3"/>
      <c r="L25" s="52"/>
      <c r="M25" s="3"/>
      <c r="N25" s="3"/>
      <c r="O25" s="58"/>
      <c r="P25" s="41"/>
      <c r="Q25" s="28"/>
      <c r="R25" s="28"/>
      <c r="S25" s="28"/>
    </row>
    <row r="26" spans="1:19">
      <c r="A26" s="52">
        <v>20</v>
      </c>
      <c r="B26" s="40"/>
      <c r="C26" s="3"/>
      <c r="D26" s="54"/>
      <c r="E26" s="40"/>
      <c r="F26" s="40"/>
      <c r="G26" s="3"/>
      <c r="H26" s="288"/>
      <c r="I26" s="3"/>
      <c r="J26" s="3"/>
      <c r="K26" s="3"/>
      <c r="L26" s="52"/>
      <c r="M26" s="3"/>
      <c r="N26" s="3"/>
      <c r="O26" s="58"/>
      <c r="P26" s="41"/>
      <c r="Q26" s="28"/>
      <c r="R26" s="28"/>
      <c r="S26" s="28"/>
    </row>
    <row r="27" spans="1:19">
      <c r="A27" s="52">
        <v>21</v>
      </c>
      <c r="B27" s="40"/>
      <c r="C27" s="3"/>
      <c r="D27" s="54"/>
      <c r="E27" s="40"/>
      <c r="F27" s="40"/>
      <c r="G27" s="3"/>
      <c r="H27" s="288"/>
      <c r="I27" s="3"/>
      <c r="J27" s="3"/>
      <c r="K27" s="3"/>
      <c r="L27" s="52"/>
      <c r="M27" s="3"/>
      <c r="N27" s="3"/>
      <c r="O27" s="58"/>
      <c r="P27" s="41"/>
      <c r="Q27" s="28"/>
      <c r="R27" s="28"/>
      <c r="S27" s="28"/>
    </row>
    <row r="28" spans="1:19">
      <c r="A28" s="52">
        <v>22</v>
      </c>
      <c r="B28" s="40"/>
      <c r="C28" s="3"/>
      <c r="D28" s="54"/>
      <c r="E28" s="40"/>
      <c r="F28" s="40"/>
      <c r="G28" s="3"/>
      <c r="H28" s="288"/>
      <c r="I28" s="3"/>
      <c r="J28" s="3"/>
      <c r="K28" s="3"/>
      <c r="L28" s="52"/>
      <c r="M28" s="3"/>
      <c r="N28" s="3"/>
      <c r="O28" s="58"/>
      <c r="P28" s="41"/>
      <c r="Q28" s="28"/>
      <c r="R28" s="28"/>
      <c r="S28" s="28"/>
    </row>
    <row r="29" spans="1:19">
      <c r="A29" s="52">
        <v>23</v>
      </c>
      <c r="B29" s="40"/>
      <c r="C29" s="3"/>
      <c r="D29" s="54"/>
      <c r="E29" s="40"/>
      <c r="F29" s="40"/>
      <c r="G29" s="3"/>
      <c r="H29" s="288"/>
      <c r="I29" s="3"/>
      <c r="J29" s="3"/>
      <c r="K29" s="3"/>
      <c r="L29" s="52"/>
      <c r="M29" s="3"/>
      <c r="N29" s="3"/>
      <c r="O29" s="58"/>
      <c r="P29" s="41"/>
      <c r="Q29" s="28"/>
      <c r="R29" s="28"/>
      <c r="S29" s="28"/>
    </row>
    <row r="30" spans="1:19">
      <c r="A30" s="52">
        <v>24</v>
      </c>
      <c r="B30" s="40"/>
      <c r="C30" s="3"/>
      <c r="D30" s="54"/>
      <c r="E30" s="40"/>
      <c r="F30" s="40"/>
      <c r="G30" s="3"/>
      <c r="H30" s="288"/>
      <c r="I30" s="3"/>
      <c r="J30" s="3"/>
      <c r="K30" s="3"/>
      <c r="L30" s="52"/>
      <c r="M30" s="3"/>
      <c r="N30" s="3"/>
      <c r="O30" s="58"/>
      <c r="P30" s="41"/>
      <c r="Q30" s="28"/>
      <c r="R30" s="28"/>
      <c r="S30" s="28"/>
    </row>
    <row r="31" spans="1:19">
      <c r="A31" s="52">
        <v>25</v>
      </c>
      <c r="B31" s="40"/>
      <c r="C31" s="3"/>
      <c r="D31" s="54"/>
      <c r="E31" s="40"/>
      <c r="F31" s="40"/>
      <c r="G31" s="3"/>
      <c r="H31" s="288"/>
      <c r="I31" s="3"/>
      <c r="J31" s="3"/>
      <c r="K31" s="3"/>
      <c r="L31" s="52"/>
      <c r="M31" s="3"/>
      <c r="N31" s="3"/>
      <c r="O31" s="58"/>
      <c r="P31" s="41"/>
      <c r="Q31" s="28"/>
      <c r="R31" s="28"/>
      <c r="S31" s="28"/>
    </row>
    <row r="32" spans="1:19">
      <c r="A32" s="52">
        <v>26</v>
      </c>
      <c r="B32" s="40"/>
      <c r="C32" s="3"/>
      <c r="D32" s="54"/>
      <c r="E32" s="40"/>
      <c r="F32" s="40"/>
      <c r="G32" s="3"/>
      <c r="H32" s="288"/>
      <c r="I32" s="3"/>
      <c r="J32" s="3"/>
      <c r="K32" s="3"/>
      <c r="L32" s="52"/>
      <c r="M32" s="3"/>
      <c r="N32" s="3"/>
      <c r="O32" s="58"/>
      <c r="P32" s="41"/>
      <c r="Q32" s="28"/>
      <c r="R32" s="28"/>
      <c r="S32" s="28"/>
    </row>
    <row r="33" spans="1:19">
      <c r="A33" s="52">
        <v>27</v>
      </c>
      <c r="B33" s="40"/>
      <c r="C33" s="3"/>
      <c r="D33" s="54"/>
      <c r="E33" s="40"/>
      <c r="F33" s="40"/>
      <c r="G33" s="3"/>
      <c r="H33" s="288"/>
      <c r="I33" s="3"/>
      <c r="J33" s="3"/>
      <c r="K33" s="3"/>
      <c r="L33" s="52"/>
      <c r="M33" s="3"/>
      <c r="N33" s="3"/>
      <c r="O33" s="58"/>
      <c r="P33" s="41"/>
      <c r="Q33" s="28"/>
      <c r="R33" s="28"/>
      <c r="S33" s="28"/>
    </row>
    <row r="34" spans="1:19">
      <c r="A34" s="52">
        <v>28</v>
      </c>
      <c r="B34" s="40"/>
      <c r="C34" s="3"/>
      <c r="D34" s="54"/>
      <c r="E34" s="40"/>
      <c r="F34" s="40"/>
      <c r="G34" s="3"/>
      <c r="H34" s="288"/>
      <c r="I34" s="3"/>
      <c r="J34" s="3"/>
      <c r="K34" s="3"/>
      <c r="L34" s="52"/>
      <c r="M34" s="3"/>
      <c r="N34" s="3"/>
      <c r="O34" s="58"/>
      <c r="P34" s="41"/>
      <c r="Q34" s="28"/>
      <c r="R34" s="28"/>
      <c r="S34" s="28"/>
    </row>
    <row r="35" spans="1:19">
      <c r="A35" s="52">
        <v>29</v>
      </c>
      <c r="B35" s="40"/>
      <c r="C35" s="3"/>
      <c r="D35" s="54"/>
      <c r="E35" s="40"/>
      <c r="F35" s="40"/>
      <c r="G35" s="3"/>
      <c r="H35" s="288"/>
      <c r="I35" s="3"/>
      <c r="J35" s="3"/>
      <c r="K35" s="3"/>
      <c r="L35" s="52"/>
      <c r="M35" s="3"/>
      <c r="N35" s="3"/>
      <c r="O35" s="58"/>
      <c r="P35" s="41"/>
      <c r="Q35" s="28"/>
      <c r="R35" s="28"/>
      <c r="S35" s="28"/>
    </row>
    <row r="36" spans="1:19">
      <c r="A36" s="52">
        <v>30</v>
      </c>
      <c r="B36" s="40"/>
      <c r="C36" s="3"/>
      <c r="D36" s="54"/>
      <c r="E36" s="40"/>
      <c r="F36" s="40"/>
      <c r="G36" s="3"/>
      <c r="H36" s="288"/>
      <c r="I36" s="3"/>
      <c r="J36" s="3"/>
      <c r="K36" s="3"/>
      <c r="L36" s="52"/>
      <c r="M36" s="3"/>
      <c r="N36" s="3"/>
      <c r="O36" s="58"/>
      <c r="P36" s="41"/>
      <c r="Q36" s="28"/>
      <c r="R36" s="28"/>
      <c r="S36" s="28"/>
    </row>
    <row r="37" spans="1:19">
      <c r="A37" s="52">
        <v>31</v>
      </c>
      <c r="B37" s="40"/>
      <c r="C37" s="3"/>
      <c r="D37" s="54"/>
      <c r="E37" s="40"/>
      <c r="F37" s="40"/>
      <c r="G37" s="3"/>
      <c r="H37" s="288"/>
      <c r="I37" s="3"/>
      <c r="J37" s="3"/>
      <c r="K37" s="3"/>
      <c r="L37" s="52"/>
      <c r="M37" s="3"/>
      <c r="N37" s="3"/>
      <c r="O37" s="58"/>
      <c r="P37" s="41"/>
      <c r="Q37" s="28"/>
      <c r="R37" s="28"/>
      <c r="S37" s="28"/>
    </row>
    <row r="38" spans="1:19">
      <c r="A38" s="52">
        <v>32</v>
      </c>
      <c r="B38" s="40"/>
      <c r="C38" s="3"/>
      <c r="D38" s="54"/>
      <c r="E38" s="40"/>
      <c r="F38" s="40"/>
      <c r="G38" s="3"/>
      <c r="H38" s="288"/>
      <c r="I38" s="3"/>
      <c r="J38" s="3"/>
      <c r="K38" s="3"/>
      <c r="L38" s="52"/>
      <c r="M38" s="3"/>
      <c r="N38" s="3"/>
      <c r="O38" s="58"/>
      <c r="P38" s="41"/>
      <c r="Q38" s="28"/>
      <c r="R38" s="28"/>
      <c r="S38" s="28"/>
    </row>
    <row r="39" spans="1:19">
      <c r="A39" s="52">
        <v>33</v>
      </c>
      <c r="B39" s="40"/>
      <c r="C39" s="3"/>
      <c r="D39" s="54"/>
      <c r="E39" s="40"/>
      <c r="F39" s="40"/>
      <c r="G39" s="3"/>
      <c r="H39" s="288"/>
      <c r="I39" s="3"/>
      <c r="J39" s="3"/>
      <c r="K39" s="3"/>
      <c r="L39" s="52"/>
      <c r="M39" s="3"/>
      <c r="N39" s="3"/>
      <c r="O39" s="58"/>
      <c r="P39" s="41"/>
      <c r="Q39" s="28"/>
      <c r="R39" s="28"/>
      <c r="S39" s="28"/>
    </row>
    <row r="40" spans="1:19">
      <c r="A40" s="52">
        <v>34</v>
      </c>
      <c r="B40" s="40"/>
      <c r="C40" s="3"/>
      <c r="D40" s="54"/>
      <c r="E40" s="40"/>
      <c r="F40" s="40"/>
      <c r="G40" s="3"/>
      <c r="H40" s="288"/>
      <c r="I40" s="3"/>
      <c r="J40" s="3"/>
      <c r="K40" s="3"/>
      <c r="L40" s="52"/>
      <c r="M40" s="3"/>
      <c r="N40" s="3"/>
      <c r="O40" s="58"/>
      <c r="P40" s="41"/>
      <c r="Q40" s="28"/>
      <c r="R40" s="28"/>
      <c r="S40" s="28"/>
    </row>
    <row r="41" spans="1:19">
      <c r="A41" s="52">
        <v>35</v>
      </c>
      <c r="B41" s="40"/>
      <c r="C41" s="3"/>
      <c r="D41" s="54"/>
      <c r="E41" s="40"/>
      <c r="F41" s="40"/>
      <c r="G41" s="3"/>
      <c r="H41" s="288"/>
      <c r="I41" s="3"/>
      <c r="J41" s="3"/>
      <c r="K41" s="3"/>
      <c r="L41" s="52"/>
      <c r="M41" s="3"/>
      <c r="N41" s="3"/>
      <c r="O41" s="58"/>
      <c r="P41" s="41"/>
      <c r="Q41" s="28"/>
      <c r="R41" s="28"/>
      <c r="S41" s="28"/>
    </row>
    <row r="42" spans="1:19">
      <c r="A42" s="52">
        <v>36</v>
      </c>
      <c r="B42" s="40"/>
      <c r="C42" s="3"/>
      <c r="D42" s="54"/>
      <c r="E42" s="40"/>
      <c r="F42" s="40"/>
      <c r="G42" s="3"/>
      <c r="H42" s="288"/>
      <c r="I42" s="3"/>
      <c r="J42" s="3"/>
      <c r="K42" s="3"/>
      <c r="L42" s="52"/>
      <c r="M42" s="3"/>
      <c r="N42" s="3"/>
      <c r="O42" s="58"/>
      <c r="P42" s="41"/>
      <c r="Q42" s="28"/>
      <c r="R42" s="28"/>
      <c r="S42" s="28"/>
    </row>
    <row r="43" spans="1:19">
      <c r="A43" s="52">
        <v>37</v>
      </c>
      <c r="B43" s="40"/>
      <c r="C43" s="3"/>
      <c r="D43" s="54"/>
      <c r="E43" s="40"/>
      <c r="F43" s="40"/>
      <c r="G43" s="3"/>
      <c r="H43" s="288"/>
      <c r="I43" s="3"/>
      <c r="J43" s="3"/>
      <c r="K43" s="3"/>
      <c r="L43" s="52"/>
      <c r="M43" s="3"/>
      <c r="N43" s="3"/>
      <c r="O43" s="58"/>
      <c r="P43" s="41"/>
      <c r="Q43" s="28"/>
      <c r="R43" s="28"/>
      <c r="S43" s="28"/>
    </row>
    <row r="44" spans="1:19">
      <c r="A44" s="52">
        <v>38</v>
      </c>
      <c r="B44" s="40"/>
      <c r="C44" s="3"/>
      <c r="D44" s="54"/>
      <c r="E44" s="40"/>
      <c r="F44" s="40"/>
      <c r="G44" s="3"/>
      <c r="H44" s="288"/>
      <c r="I44" s="3"/>
      <c r="J44" s="3"/>
      <c r="K44" s="3"/>
      <c r="L44" s="52"/>
      <c r="M44" s="3"/>
      <c r="N44" s="3"/>
      <c r="O44" s="58"/>
      <c r="P44" s="41"/>
      <c r="Q44" s="28"/>
      <c r="R44" s="28"/>
      <c r="S44" s="28"/>
    </row>
    <row r="45" spans="1:19">
      <c r="A45" s="52">
        <v>39</v>
      </c>
      <c r="B45" s="40"/>
      <c r="C45" s="3"/>
      <c r="D45" s="54"/>
      <c r="E45" s="40"/>
      <c r="F45" s="40"/>
      <c r="G45" s="3"/>
      <c r="H45" s="288"/>
      <c r="I45" s="3"/>
      <c r="J45" s="3"/>
      <c r="K45" s="3"/>
      <c r="L45" s="52"/>
      <c r="M45" s="3"/>
      <c r="N45" s="3"/>
      <c r="O45" s="58"/>
      <c r="P45" s="41"/>
      <c r="Q45" s="28"/>
      <c r="R45" s="28"/>
      <c r="S45" s="28"/>
    </row>
    <row r="46" spans="1:19">
      <c r="A46" s="52">
        <v>40</v>
      </c>
      <c r="B46" s="40"/>
      <c r="C46" s="3"/>
      <c r="D46" s="54"/>
      <c r="E46" s="40"/>
      <c r="F46" s="40"/>
      <c r="G46" s="3"/>
      <c r="H46" s="288"/>
      <c r="I46" s="3"/>
      <c r="J46" s="3"/>
      <c r="K46" s="3"/>
      <c r="L46" s="52"/>
      <c r="M46" s="3"/>
      <c r="N46" s="3"/>
      <c r="O46" s="58"/>
      <c r="P46" s="41"/>
      <c r="Q46" s="28"/>
      <c r="R46" s="28"/>
      <c r="S46" s="28"/>
    </row>
    <row r="47" spans="1:19">
      <c r="A47" s="52">
        <v>41</v>
      </c>
      <c r="B47" s="40"/>
      <c r="C47" s="3"/>
      <c r="D47" s="54"/>
      <c r="E47" s="40"/>
      <c r="F47" s="40"/>
      <c r="G47" s="3"/>
      <c r="H47" s="288"/>
      <c r="I47" s="3"/>
      <c r="J47" s="3"/>
      <c r="K47" s="3"/>
      <c r="L47" s="52"/>
      <c r="M47" s="3"/>
      <c r="N47" s="3"/>
      <c r="O47" s="58"/>
      <c r="P47" s="41"/>
      <c r="Q47" s="28"/>
      <c r="R47" s="28"/>
      <c r="S47" s="28"/>
    </row>
    <row r="48" spans="1:19">
      <c r="A48" s="52">
        <v>42</v>
      </c>
      <c r="B48" s="40"/>
      <c r="C48" s="3"/>
      <c r="D48" s="54"/>
      <c r="E48" s="40"/>
      <c r="F48" s="40"/>
      <c r="G48" s="3"/>
      <c r="H48" s="288"/>
      <c r="I48" s="3"/>
      <c r="J48" s="3"/>
      <c r="K48" s="3"/>
      <c r="L48" s="52"/>
      <c r="M48" s="3"/>
      <c r="N48" s="3"/>
      <c r="O48" s="58"/>
      <c r="P48" s="41"/>
      <c r="Q48" s="28"/>
      <c r="R48" s="28"/>
      <c r="S48" s="28"/>
    </row>
    <row r="49" spans="1:19">
      <c r="A49" s="52">
        <v>43</v>
      </c>
      <c r="B49" s="40"/>
      <c r="C49" s="3"/>
      <c r="D49" s="54"/>
      <c r="E49" s="40"/>
      <c r="F49" s="40"/>
      <c r="G49" s="3"/>
      <c r="H49" s="288"/>
      <c r="I49" s="3"/>
      <c r="J49" s="3"/>
      <c r="K49" s="3"/>
      <c r="L49" s="52"/>
      <c r="M49" s="3"/>
      <c r="N49" s="3"/>
      <c r="O49" s="58"/>
      <c r="P49" s="41"/>
      <c r="Q49" s="28"/>
      <c r="R49" s="28"/>
      <c r="S49" s="28"/>
    </row>
    <row r="50" spans="1:19">
      <c r="A50" s="52">
        <v>44</v>
      </c>
      <c r="B50" s="40"/>
      <c r="C50" s="3"/>
      <c r="D50" s="54"/>
      <c r="E50" s="40"/>
      <c r="F50" s="40"/>
      <c r="G50" s="3"/>
      <c r="H50" s="288"/>
      <c r="I50" s="3"/>
      <c r="J50" s="3"/>
      <c r="K50" s="3"/>
      <c r="L50" s="52"/>
      <c r="M50" s="3"/>
      <c r="N50" s="3"/>
      <c r="O50" s="58"/>
      <c r="P50" s="41"/>
      <c r="Q50" s="28"/>
      <c r="R50" s="28"/>
      <c r="S50" s="28"/>
    </row>
    <row r="51" spans="1:19">
      <c r="A51" s="52">
        <v>45</v>
      </c>
      <c r="B51" s="40"/>
      <c r="C51" s="3"/>
      <c r="D51" s="54"/>
      <c r="E51" s="40"/>
      <c r="F51" s="40"/>
      <c r="G51" s="3"/>
      <c r="H51" s="288"/>
      <c r="I51" s="3"/>
      <c r="J51" s="3"/>
      <c r="K51" s="3"/>
      <c r="L51" s="52"/>
      <c r="M51" s="3"/>
      <c r="N51" s="3"/>
      <c r="O51" s="58"/>
      <c r="P51" s="41"/>
      <c r="Q51" s="28"/>
      <c r="R51" s="28"/>
      <c r="S51" s="28"/>
    </row>
    <row r="52" spans="1:19">
      <c r="A52" s="52">
        <v>46</v>
      </c>
      <c r="B52" s="40"/>
      <c r="C52" s="3"/>
      <c r="D52" s="54"/>
      <c r="E52" s="40"/>
      <c r="F52" s="40"/>
      <c r="G52" s="3"/>
      <c r="H52" s="288"/>
      <c r="I52" s="3"/>
      <c r="J52" s="3"/>
      <c r="K52" s="3"/>
      <c r="L52" s="52"/>
      <c r="M52" s="3"/>
      <c r="N52" s="3"/>
      <c r="O52" s="58"/>
      <c r="P52" s="41"/>
      <c r="Q52" s="28"/>
      <c r="R52" s="28"/>
      <c r="S52" s="28"/>
    </row>
    <row r="53" spans="1:19">
      <c r="A53" s="52">
        <v>47</v>
      </c>
      <c r="B53" s="40"/>
      <c r="C53" s="3"/>
      <c r="D53" s="54"/>
      <c r="E53" s="40"/>
      <c r="F53" s="40"/>
      <c r="G53" s="3"/>
      <c r="H53" s="288"/>
      <c r="I53" s="3"/>
      <c r="J53" s="3"/>
      <c r="K53" s="3"/>
      <c r="L53" s="52"/>
      <c r="M53" s="3"/>
      <c r="N53" s="3"/>
      <c r="O53" s="58"/>
      <c r="P53" s="41"/>
      <c r="Q53" s="28"/>
      <c r="R53" s="28"/>
      <c r="S53" s="28"/>
    </row>
    <row r="54" spans="1:19">
      <c r="A54" s="52">
        <v>48</v>
      </c>
      <c r="B54" s="40"/>
      <c r="C54" s="3"/>
      <c r="D54" s="54"/>
      <c r="E54" s="40"/>
      <c r="F54" s="40"/>
      <c r="G54" s="3"/>
      <c r="H54" s="288"/>
      <c r="I54" s="3"/>
      <c r="J54" s="3"/>
      <c r="K54" s="3"/>
      <c r="L54" s="52"/>
      <c r="M54" s="3"/>
      <c r="N54" s="3"/>
      <c r="O54" s="58"/>
      <c r="P54" s="41"/>
      <c r="Q54" s="28"/>
      <c r="R54" s="28"/>
      <c r="S54" s="28"/>
    </row>
    <row r="55" spans="1:19" ht="15" thickBot="1">
      <c r="A55" s="53">
        <v>49</v>
      </c>
      <c r="B55" s="119"/>
      <c r="C55" s="55"/>
      <c r="D55" s="56"/>
      <c r="E55" s="119"/>
      <c r="F55" s="119"/>
      <c r="G55" s="55"/>
      <c r="H55" s="55"/>
      <c r="I55" s="55"/>
      <c r="J55" s="55"/>
      <c r="K55" s="55"/>
      <c r="L55" s="53"/>
      <c r="M55" s="55"/>
      <c r="N55" s="55"/>
      <c r="O55" s="59"/>
      <c r="P55" s="42"/>
      <c r="Q55" s="28"/>
      <c r="R55" s="28"/>
      <c r="S55" s="28"/>
    </row>
    <row r="56" spans="1:19">
      <c r="A56" s="124"/>
      <c r="B56" s="28"/>
      <c r="C56" s="28"/>
      <c r="D56" s="28"/>
      <c r="E56" s="28"/>
      <c r="F56" s="28"/>
      <c r="G56" s="28"/>
      <c r="H56" s="28"/>
      <c r="I56" s="28"/>
      <c r="J56" s="28"/>
      <c r="K56" s="28"/>
      <c r="L56" s="28"/>
      <c r="M56" s="28"/>
      <c r="N56" s="28"/>
      <c r="O56" s="28"/>
      <c r="P56" s="28"/>
      <c r="Q56" s="28"/>
      <c r="R56" s="28"/>
      <c r="S56" s="28"/>
    </row>
    <row r="57" spans="1:19">
      <c r="A57" s="28"/>
      <c r="B57" s="28"/>
      <c r="C57" s="28"/>
      <c r="D57" s="28"/>
      <c r="E57" s="28"/>
      <c r="F57" s="28"/>
      <c r="G57" s="28"/>
      <c r="H57" s="28"/>
      <c r="I57" s="28"/>
      <c r="J57" s="28"/>
      <c r="K57" s="28"/>
      <c r="L57" s="28"/>
      <c r="M57" s="28"/>
      <c r="N57" s="28"/>
      <c r="O57" s="28"/>
      <c r="P57" s="28"/>
      <c r="Q57" s="28"/>
      <c r="R57" s="28"/>
      <c r="S57" s="28"/>
    </row>
    <row r="58" spans="1:19">
      <c r="A58" s="28"/>
      <c r="B58" s="28"/>
      <c r="C58" s="28"/>
      <c r="D58" s="28"/>
      <c r="E58" s="28"/>
      <c r="F58" s="28"/>
      <c r="G58" s="28"/>
      <c r="H58" s="28"/>
      <c r="I58" s="28"/>
      <c r="J58" s="28"/>
      <c r="K58" s="28"/>
      <c r="L58" s="28"/>
      <c r="M58" s="28"/>
      <c r="N58" s="28"/>
      <c r="O58" s="28"/>
      <c r="P58" s="28"/>
      <c r="Q58" s="28"/>
      <c r="R58" s="28"/>
      <c r="S58" s="28"/>
    </row>
    <row r="59" spans="1:19">
      <c r="A59" s="28"/>
      <c r="B59" s="28"/>
      <c r="C59" s="28"/>
      <c r="D59" s="28"/>
      <c r="E59" s="28"/>
      <c r="F59" s="28"/>
      <c r="G59" s="28"/>
      <c r="H59" s="28"/>
      <c r="I59" s="28"/>
      <c r="J59" s="28"/>
      <c r="K59" s="28"/>
      <c r="L59" s="28"/>
      <c r="M59" s="28"/>
      <c r="N59" s="28"/>
      <c r="O59" s="28"/>
      <c r="P59" s="28"/>
      <c r="Q59" s="28"/>
      <c r="R59" s="28"/>
      <c r="S59" s="28"/>
    </row>
    <row r="60" spans="1:19">
      <c r="A60" s="28"/>
      <c r="B60" s="28"/>
      <c r="C60" s="28"/>
      <c r="D60" s="28"/>
      <c r="E60" s="28"/>
      <c r="F60" s="28"/>
      <c r="G60" s="28"/>
      <c r="H60" s="28"/>
      <c r="I60" s="28"/>
      <c r="J60" s="28"/>
      <c r="K60" s="28"/>
      <c r="L60" s="28"/>
      <c r="M60" s="28"/>
      <c r="N60" s="28"/>
      <c r="O60" s="28"/>
      <c r="P60" s="28"/>
      <c r="Q60" s="28"/>
      <c r="R60" s="28"/>
      <c r="S60" s="28"/>
    </row>
    <row r="61" spans="1:19">
      <c r="A61" s="28"/>
      <c r="B61" s="28"/>
      <c r="C61" s="28"/>
      <c r="D61" s="28"/>
      <c r="E61" s="28"/>
      <c r="F61" s="28"/>
      <c r="G61" s="28"/>
      <c r="H61" s="28"/>
      <c r="I61" s="28"/>
      <c r="J61" s="28"/>
      <c r="K61" s="28"/>
      <c r="L61" s="28"/>
      <c r="M61" s="28"/>
      <c r="N61" s="28"/>
      <c r="O61" s="28"/>
      <c r="P61" s="28"/>
    </row>
  </sheetData>
  <autoFilter ref="A6:P6" xr:uid="{00000000-0009-0000-0000-000013000000}"/>
  <mergeCells count="6">
    <mergeCell ref="C5:D5"/>
    <mergeCell ref="I5:K5"/>
    <mergeCell ref="L5:O5"/>
    <mergeCell ref="A1:G1"/>
    <mergeCell ref="A3:G3"/>
    <mergeCell ref="E5:H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17"/>
  <dimension ref="A1:N62"/>
  <sheetViews>
    <sheetView zoomScaleNormal="100" workbookViewId="0">
      <selection sqref="A1:G1"/>
    </sheetView>
  </sheetViews>
  <sheetFormatPr baseColWidth="10" defaultRowHeight="14.5"/>
  <cols>
    <col min="1" max="1" width="5.26953125" customWidth="1"/>
    <col min="2" max="2" width="9.81640625" customWidth="1"/>
    <col min="3" max="5" width="17.7265625" customWidth="1"/>
    <col min="6" max="6" width="31.453125" customWidth="1"/>
    <col min="7" max="7" width="21.7265625" customWidth="1"/>
    <col min="8" max="11" width="17.7265625" customWidth="1"/>
  </cols>
  <sheetData>
    <row r="1" spans="1:14" s="57" customFormat="1" ht="30" customHeight="1">
      <c r="A1" s="525" t="s">
        <v>427</v>
      </c>
      <c r="B1" s="525"/>
      <c r="C1" s="525"/>
      <c r="D1" s="525"/>
      <c r="E1" s="525"/>
      <c r="F1" s="525"/>
      <c r="G1" s="525"/>
      <c r="H1" s="141"/>
      <c r="I1" s="141"/>
      <c r="J1" s="141"/>
      <c r="K1" s="64"/>
      <c r="L1" s="135"/>
      <c r="M1" s="135"/>
      <c r="N1" s="135"/>
    </row>
    <row r="2" spans="1:14" s="57" customFormat="1" ht="12.65" customHeight="1">
      <c r="A2" s="141"/>
      <c r="B2" s="141"/>
      <c r="C2" s="141"/>
      <c r="D2" s="141"/>
      <c r="E2" s="141"/>
      <c r="F2" s="141"/>
      <c r="G2" s="141"/>
      <c r="H2" s="141"/>
      <c r="I2" s="141"/>
      <c r="J2" s="141"/>
      <c r="K2" s="64"/>
      <c r="L2" s="135"/>
      <c r="M2" s="135"/>
      <c r="N2" s="135"/>
    </row>
    <row r="3" spans="1:14" ht="34.5" customHeight="1">
      <c r="A3" s="443" t="s">
        <v>321</v>
      </c>
      <c r="B3" s="443"/>
      <c r="C3" s="443"/>
      <c r="D3" s="443"/>
      <c r="E3" s="443"/>
      <c r="F3" s="443"/>
      <c r="G3" s="443"/>
      <c r="H3" s="28"/>
      <c r="I3" s="28"/>
      <c r="J3" s="28"/>
      <c r="K3" s="28"/>
      <c r="L3" s="28"/>
      <c r="M3" s="28"/>
      <c r="N3" s="28"/>
    </row>
    <row r="4" spans="1:14" ht="11.25" customHeight="1" thickBot="1">
      <c r="A4" s="28"/>
      <c r="B4" s="28"/>
      <c r="C4" s="28"/>
      <c r="D4" s="28"/>
      <c r="E4" s="28"/>
      <c r="F4" s="28"/>
      <c r="G4" s="28"/>
      <c r="H4" s="28"/>
      <c r="I4" s="28"/>
      <c r="J4" s="28"/>
      <c r="K4" s="28"/>
      <c r="L4" s="28"/>
      <c r="M4" s="28"/>
      <c r="N4" s="28"/>
    </row>
    <row r="5" spans="1:14" ht="43.5">
      <c r="A5" s="199" t="s">
        <v>29</v>
      </c>
      <c r="B5" s="198" t="s">
        <v>175</v>
      </c>
      <c r="C5" s="204" t="s">
        <v>30</v>
      </c>
      <c r="D5" s="192" t="s">
        <v>31</v>
      </c>
      <c r="E5" s="192" t="s">
        <v>32</v>
      </c>
      <c r="F5" s="192" t="s">
        <v>41</v>
      </c>
      <c r="G5" s="192" t="s">
        <v>319</v>
      </c>
      <c r="H5" s="192" t="s">
        <v>320</v>
      </c>
      <c r="I5" s="192" t="s">
        <v>42</v>
      </c>
      <c r="J5" s="192" t="s">
        <v>43</v>
      </c>
      <c r="K5" s="200" t="s">
        <v>0</v>
      </c>
      <c r="L5" s="28"/>
      <c r="M5" s="28"/>
      <c r="N5" s="28"/>
    </row>
    <row r="6" spans="1:14">
      <c r="A6" s="52">
        <v>1</v>
      </c>
      <c r="B6" s="3"/>
      <c r="C6" s="16"/>
      <c r="D6" s="16"/>
      <c r="E6" s="16"/>
      <c r="F6" s="16"/>
      <c r="G6" s="16"/>
      <c r="H6" s="16"/>
      <c r="I6" s="16"/>
      <c r="J6" s="16"/>
      <c r="K6" s="46"/>
      <c r="L6" s="28"/>
      <c r="M6" s="28"/>
      <c r="N6" s="28"/>
    </row>
    <row r="7" spans="1:14">
      <c r="A7" s="52">
        <v>2</v>
      </c>
      <c r="B7" s="3"/>
      <c r="C7" s="16"/>
      <c r="D7" s="16"/>
      <c r="E7" s="16"/>
      <c r="F7" s="16"/>
      <c r="G7" s="16"/>
      <c r="H7" s="16"/>
      <c r="I7" s="16"/>
      <c r="J7" s="16"/>
      <c r="K7" s="46"/>
      <c r="L7" s="28"/>
      <c r="M7" s="28"/>
      <c r="N7" s="28"/>
    </row>
    <row r="8" spans="1:14">
      <c r="A8" s="52">
        <v>3</v>
      </c>
      <c r="B8" s="3"/>
      <c r="C8" s="16"/>
      <c r="D8" s="16"/>
      <c r="E8" s="16"/>
      <c r="F8" s="16"/>
      <c r="G8" s="16"/>
      <c r="H8" s="16"/>
      <c r="I8" s="16"/>
      <c r="J8" s="16"/>
      <c r="K8" s="46"/>
      <c r="L8" s="28"/>
      <c r="M8" s="28"/>
      <c r="N8" s="28"/>
    </row>
    <row r="9" spans="1:14">
      <c r="A9" s="52">
        <v>4</v>
      </c>
      <c r="B9" s="3"/>
      <c r="C9" s="16"/>
      <c r="D9" s="16"/>
      <c r="E9" s="16"/>
      <c r="F9" s="16"/>
      <c r="G9" s="16"/>
      <c r="H9" s="16"/>
      <c r="I9" s="16"/>
      <c r="J9" s="16"/>
      <c r="K9" s="46"/>
      <c r="L9" s="28"/>
      <c r="M9" s="28"/>
      <c r="N9" s="28"/>
    </row>
    <row r="10" spans="1:14">
      <c r="A10" s="52">
        <v>5</v>
      </c>
      <c r="B10" s="3"/>
      <c r="C10" s="16"/>
      <c r="D10" s="16"/>
      <c r="E10" s="16"/>
      <c r="F10" s="16"/>
      <c r="G10" s="16"/>
      <c r="H10" s="16"/>
      <c r="I10" s="16"/>
      <c r="J10" s="16"/>
      <c r="K10" s="46"/>
      <c r="L10" s="28"/>
      <c r="M10" s="28"/>
      <c r="N10" s="28"/>
    </row>
    <row r="11" spans="1:14">
      <c r="A11" s="52">
        <v>6</v>
      </c>
      <c r="B11" s="3"/>
      <c r="C11" s="16"/>
      <c r="D11" s="16"/>
      <c r="E11" s="16"/>
      <c r="F11" s="16"/>
      <c r="G11" s="16"/>
      <c r="H11" s="16"/>
      <c r="I11" s="16"/>
      <c r="J11" s="16"/>
      <c r="K11" s="46"/>
      <c r="L11" s="28"/>
      <c r="M11" s="28"/>
      <c r="N11" s="28"/>
    </row>
    <row r="12" spans="1:14">
      <c r="A12" s="52">
        <v>7</v>
      </c>
      <c r="B12" s="3"/>
      <c r="C12" s="16"/>
      <c r="D12" s="16"/>
      <c r="E12" s="16"/>
      <c r="F12" s="16"/>
      <c r="G12" s="16"/>
      <c r="H12" s="16"/>
      <c r="I12" s="16"/>
      <c r="J12" s="16"/>
      <c r="K12" s="46"/>
      <c r="L12" s="28"/>
      <c r="M12" s="28"/>
      <c r="N12" s="28"/>
    </row>
    <row r="13" spans="1:14">
      <c r="A13" s="52">
        <v>8</v>
      </c>
      <c r="B13" s="3"/>
      <c r="C13" s="16"/>
      <c r="D13" s="16"/>
      <c r="E13" s="16"/>
      <c r="F13" s="16"/>
      <c r="G13" s="16"/>
      <c r="H13" s="16"/>
      <c r="I13" s="16"/>
      <c r="J13" s="16"/>
      <c r="K13" s="46"/>
      <c r="L13" s="28"/>
      <c r="M13" s="28"/>
      <c r="N13" s="28"/>
    </row>
    <row r="14" spans="1:14">
      <c r="A14" s="52">
        <v>9</v>
      </c>
      <c r="B14" s="3"/>
      <c r="C14" s="16"/>
      <c r="D14" s="16"/>
      <c r="E14" s="16"/>
      <c r="F14" s="16"/>
      <c r="G14" s="16"/>
      <c r="H14" s="16"/>
      <c r="I14" s="16"/>
      <c r="J14" s="16"/>
      <c r="K14" s="46"/>
      <c r="L14" s="28"/>
      <c r="M14" s="28"/>
      <c r="N14" s="28"/>
    </row>
    <row r="15" spans="1:14">
      <c r="A15" s="52">
        <v>10</v>
      </c>
      <c r="B15" s="3"/>
      <c r="C15" s="16"/>
      <c r="D15" s="16"/>
      <c r="E15" s="16"/>
      <c r="F15" s="16"/>
      <c r="G15" s="16"/>
      <c r="H15" s="16"/>
      <c r="I15" s="16"/>
      <c r="J15" s="16"/>
      <c r="K15" s="46"/>
      <c r="L15" s="28"/>
      <c r="M15" s="28"/>
      <c r="N15" s="28"/>
    </row>
    <row r="16" spans="1:14">
      <c r="A16" s="52">
        <v>11</v>
      </c>
      <c r="B16" s="3"/>
      <c r="C16" s="16"/>
      <c r="D16" s="16"/>
      <c r="E16" s="16"/>
      <c r="F16" s="16"/>
      <c r="G16" s="16"/>
      <c r="H16" s="16"/>
      <c r="I16" s="16"/>
      <c r="J16" s="16"/>
      <c r="K16" s="46"/>
      <c r="L16" s="28"/>
      <c r="M16" s="28"/>
      <c r="N16" s="28"/>
    </row>
    <row r="17" spans="1:14">
      <c r="A17" s="52">
        <v>12</v>
      </c>
      <c r="B17" s="3"/>
      <c r="C17" s="16"/>
      <c r="D17" s="16"/>
      <c r="E17" s="16"/>
      <c r="F17" s="16"/>
      <c r="G17" s="16"/>
      <c r="H17" s="16"/>
      <c r="I17" s="16"/>
      <c r="J17" s="16"/>
      <c r="K17" s="46"/>
      <c r="L17" s="28"/>
      <c r="M17" s="28"/>
      <c r="N17" s="28"/>
    </row>
    <row r="18" spans="1:14">
      <c r="A18" s="52">
        <v>13</v>
      </c>
      <c r="B18" s="3"/>
      <c r="C18" s="16"/>
      <c r="D18" s="16"/>
      <c r="E18" s="16"/>
      <c r="F18" s="16"/>
      <c r="G18" s="16"/>
      <c r="H18" s="16"/>
      <c r="I18" s="16"/>
      <c r="J18" s="16"/>
      <c r="K18" s="46"/>
      <c r="L18" s="28"/>
      <c r="M18" s="28"/>
      <c r="N18" s="28"/>
    </row>
    <row r="19" spans="1:14">
      <c r="A19" s="52">
        <v>14</v>
      </c>
      <c r="B19" s="3"/>
      <c r="C19" s="16"/>
      <c r="D19" s="16"/>
      <c r="E19" s="16"/>
      <c r="F19" s="16"/>
      <c r="G19" s="16"/>
      <c r="H19" s="16"/>
      <c r="I19" s="16"/>
      <c r="J19" s="16"/>
      <c r="K19" s="46"/>
      <c r="L19" s="28"/>
      <c r="M19" s="28"/>
      <c r="N19" s="28"/>
    </row>
    <row r="20" spans="1:14">
      <c r="A20" s="52">
        <v>15</v>
      </c>
      <c r="B20" s="3"/>
      <c r="C20" s="16"/>
      <c r="D20" s="16"/>
      <c r="E20" s="16"/>
      <c r="F20" s="16"/>
      <c r="G20" s="16"/>
      <c r="H20" s="16"/>
      <c r="I20" s="16"/>
      <c r="J20" s="16"/>
      <c r="K20" s="46"/>
      <c r="L20" s="28"/>
      <c r="M20" s="28"/>
      <c r="N20" s="28"/>
    </row>
    <row r="21" spans="1:14">
      <c r="A21" s="52">
        <v>16</v>
      </c>
      <c r="B21" s="3"/>
      <c r="C21" s="16"/>
      <c r="D21" s="16"/>
      <c r="E21" s="16"/>
      <c r="F21" s="16"/>
      <c r="G21" s="16"/>
      <c r="H21" s="16"/>
      <c r="I21" s="16"/>
      <c r="J21" s="16"/>
      <c r="K21" s="46"/>
      <c r="L21" s="28"/>
      <c r="M21" s="28"/>
      <c r="N21" s="28"/>
    </row>
    <row r="22" spans="1:14">
      <c r="A22" s="52">
        <v>17</v>
      </c>
      <c r="B22" s="3"/>
      <c r="C22" s="16"/>
      <c r="D22" s="16"/>
      <c r="E22" s="16"/>
      <c r="F22" s="16"/>
      <c r="G22" s="16"/>
      <c r="H22" s="16"/>
      <c r="I22" s="16"/>
      <c r="J22" s="16"/>
      <c r="K22" s="46"/>
      <c r="L22" s="28"/>
      <c r="M22" s="28"/>
      <c r="N22" s="28"/>
    </row>
    <row r="23" spans="1:14">
      <c r="A23" s="52">
        <v>18</v>
      </c>
      <c r="B23" s="3"/>
      <c r="C23" s="16"/>
      <c r="D23" s="16"/>
      <c r="E23" s="16"/>
      <c r="F23" s="16"/>
      <c r="G23" s="16"/>
      <c r="H23" s="16"/>
      <c r="I23" s="16"/>
      <c r="J23" s="16"/>
      <c r="K23" s="46"/>
      <c r="L23" s="28"/>
      <c r="M23" s="28"/>
      <c r="N23" s="28"/>
    </row>
    <row r="24" spans="1:14">
      <c r="A24" s="52">
        <v>19</v>
      </c>
      <c r="B24" s="3"/>
      <c r="C24" s="16"/>
      <c r="D24" s="16"/>
      <c r="E24" s="16"/>
      <c r="F24" s="16"/>
      <c r="G24" s="16"/>
      <c r="H24" s="16"/>
      <c r="I24" s="16"/>
      <c r="J24" s="16"/>
      <c r="K24" s="46"/>
      <c r="L24" s="28"/>
      <c r="M24" s="28"/>
      <c r="N24" s="28"/>
    </row>
    <row r="25" spans="1:14">
      <c r="A25" s="52">
        <v>20</v>
      </c>
      <c r="B25" s="3"/>
      <c r="C25" s="16"/>
      <c r="D25" s="16"/>
      <c r="E25" s="16"/>
      <c r="F25" s="16"/>
      <c r="G25" s="16"/>
      <c r="H25" s="16"/>
      <c r="I25" s="16"/>
      <c r="J25" s="16"/>
      <c r="K25" s="46"/>
      <c r="L25" s="28"/>
      <c r="M25" s="28"/>
      <c r="N25" s="28"/>
    </row>
    <row r="26" spans="1:14">
      <c r="A26" s="52">
        <v>21</v>
      </c>
      <c r="B26" s="3"/>
      <c r="C26" s="16"/>
      <c r="D26" s="16"/>
      <c r="E26" s="16"/>
      <c r="F26" s="16"/>
      <c r="G26" s="16"/>
      <c r="H26" s="16"/>
      <c r="I26" s="16"/>
      <c r="J26" s="16"/>
      <c r="K26" s="46"/>
      <c r="L26" s="28"/>
      <c r="M26" s="28"/>
      <c r="N26" s="28"/>
    </row>
    <row r="27" spans="1:14">
      <c r="A27" s="52">
        <v>22</v>
      </c>
      <c r="B27" s="3"/>
      <c r="C27" s="16"/>
      <c r="D27" s="16"/>
      <c r="E27" s="16"/>
      <c r="F27" s="16"/>
      <c r="G27" s="16"/>
      <c r="H27" s="16"/>
      <c r="I27" s="16"/>
      <c r="J27" s="16"/>
      <c r="K27" s="46"/>
      <c r="L27" s="28"/>
      <c r="M27" s="28"/>
      <c r="N27" s="28"/>
    </row>
    <row r="28" spans="1:14">
      <c r="A28" s="52">
        <v>23</v>
      </c>
      <c r="B28" s="3"/>
      <c r="C28" s="16"/>
      <c r="D28" s="16"/>
      <c r="E28" s="16"/>
      <c r="F28" s="16"/>
      <c r="G28" s="16"/>
      <c r="H28" s="16"/>
      <c r="I28" s="16"/>
      <c r="J28" s="16"/>
      <c r="K28" s="46"/>
      <c r="L28" s="28"/>
      <c r="M28" s="28"/>
      <c r="N28" s="28"/>
    </row>
    <row r="29" spans="1:14">
      <c r="A29" s="52">
        <v>24</v>
      </c>
      <c r="B29" s="3"/>
      <c r="C29" s="16"/>
      <c r="D29" s="16"/>
      <c r="E29" s="16"/>
      <c r="F29" s="16"/>
      <c r="G29" s="16"/>
      <c r="H29" s="16"/>
      <c r="I29" s="16"/>
      <c r="J29" s="16"/>
      <c r="K29" s="46"/>
      <c r="L29" s="28"/>
      <c r="M29" s="28"/>
      <c r="N29" s="28"/>
    </row>
    <row r="30" spans="1:14">
      <c r="A30" s="52">
        <v>25</v>
      </c>
      <c r="B30" s="3"/>
      <c r="C30" s="16"/>
      <c r="D30" s="16"/>
      <c r="E30" s="16"/>
      <c r="F30" s="16"/>
      <c r="G30" s="16"/>
      <c r="H30" s="16"/>
      <c r="I30" s="16"/>
      <c r="J30" s="16"/>
      <c r="K30" s="46"/>
      <c r="L30" s="28"/>
      <c r="M30" s="28"/>
      <c r="N30" s="28"/>
    </row>
    <row r="31" spans="1:14">
      <c r="A31" s="52">
        <v>26</v>
      </c>
      <c r="B31" s="3"/>
      <c r="C31" s="16"/>
      <c r="D31" s="16"/>
      <c r="E31" s="16"/>
      <c r="F31" s="16"/>
      <c r="G31" s="16"/>
      <c r="H31" s="16"/>
      <c r="I31" s="16"/>
      <c r="J31" s="16"/>
      <c r="K31" s="46"/>
      <c r="L31" s="28"/>
      <c r="M31" s="28"/>
      <c r="N31" s="28"/>
    </row>
    <row r="32" spans="1:14">
      <c r="A32" s="52">
        <v>27</v>
      </c>
      <c r="B32" s="3"/>
      <c r="C32" s="16"/>
      <c r="D32" s="16"/>
      <c r="E32" s="16"/>
      <c r="F32" s="16"/>
      <c r="G32" s="16"/>
      <c r="H32" s="16"/>
      <c r="I32" s="16"/>
      <c r="J32" s="16"/>
      <c r="K32" s="46"/>
      <c r="L32" s="28"/>
      <c r="M32" s="28"/>
      <c r="N32" s="28"/>
    </row>
    <row r="33" spans="1:14">
      <c r="A33" s="52">
        <v>28</v>
      </c>
      <c r="B33" s="3"/>
      <c r="C33" s="16"/>
      <c r="D33" s="16"/>
      <c r="E33" s="16"/>
      <c r="F33" s="16"/>
      <c r="G33" s="16"/>
      <c r="H33" s="16"/>
      <c r="I33" s="16"/>
      <c r="J33" s="16"/>
      <c r="K33" s="46"/>
      <c r="L33" s="28"/>
      <c r="M33" s="28"/>
      <c r="N33" s="28"/>
    </row>
    <row r="34" spans="1:14">
      <c r="A34" s="52">
        <v>29</v>
      </c>
      <c r="B34" s="3"/>
      <c r="C34" s="16"/>
      <c r="D34" s="16"/>
      <c r="E34" s="16"/>
      <c r="F34" s="16"/>
      <c r="G34" s="16"/>
      <c r="H34" s="16"/>
      <c r="I34" s="16"/>
      <c r="J34" s="16"/>
      <c r="K34" s="46"/>
      <c r="L34" s="28"/>
      <c r="M34" s="28"/>
      <c r="N34" s="28"/>
    </row>
    <row r="35" spans="1:14">
      <c r="A35" s="52">
        <v>30</v>
      </c>
      <c r="B35" s="3"/>
      <c r="C35" s="16"/>
      <c r="D35" s="16"/>
      <c r="E35" s="16"/>
      <c r="F35" s="16"/>
      <c r="G35" s="16"/>
      <c r="H35" s="16"/>
      <c r="I35" s="16"/>
      <c r="J35" s="16"/>
      <c r="K35" s="46"/>
      <c r="L35" s="28"/>
      <c r="M35" s="28"/>
      <c r="N35" s="28"/>
    </row>
    <row r="36" spans="1:14">
      <c r="A36" s="52">
        <v>31</v>
      </c>
      <c r="B36" s="3"/>
      <c r="C36" s="16"/>
      <c r="D36" s="16"/>
      <c r="E36" s="16"/>
      <c r="F36" s="16"/>
      <c r="G36" s="16"/>
      <c r="H36" s="16"/>
      <c r="I36" s="16"/>
      <c r="J36" s="16"/>
      <c r="K36" s="46"/>
      <c r="L36" s="28"/>
      <c r="M36" s="28"/>
      <c r="N36" s="28"/>
    </row>
    <row r="37" spans="1:14">
      <c r="A37" s="52">
        <v>32</v>
      </c>
      <c r="B37" s="3"/>
      <c r="C37" s="16"/>
      <c r="D37" s="16"/>
      <c r="E37" s="16"/>
      <c r="F37" s="16"/>
      <c r="G37" s="16"/>
      <c r="H37" s="16"/>
      <c r="I37" s="16"/>
      <c r="J37" s="16"/>
      <c r="K37" s="46"/>
      <c r="L37" s="28"/>
      <c r="M37" s="28"/>
      <c r="N37" s="28"/>
    </row>
    <row r="38" spans="1:14">
      <c r="A38" s="52">
        <v>33</v>
      </c>
      <c r="B38" s="3"/>
      <c r="C38" s="16"/>
      <c r="D38" s="16"/>
      <c r="E38" s="16"/>
      <c r="F38" s="16"/>
      <c r="G38" s="16"/>
      <c r="H38" s="16"/>
      <c r="I38" s="16"/>
      <c r="J38" s="16"/>
      <c r="K38" s="46"/>
      <c r="L38" s="28"/>
      <c r="M38" s="28"/>
      <c r="N38" s="28"/>
    </row>
    <row r="39" spans="1:14">
      <c r="A39" s="52">
        <v>34</v>
      </c>
      <c r="B39" s="3"/>
      <c r="C39" s="16"/>
      <c r="D39" s="16"/>
      <c r="E39" s="16"/>
      <c r="F39" s="16"/>
      <c r="G39" s="16"/>
      <c r="H39" s="16"/>
      <c r="I39" s="16"/>
      <c r="J39" s="16"/>
      <c r="K39" s="46"/>
      <c r="L39" s="28"/>
      <c r="M39" s="28"/>
      <c r="N39" s="28"/>
    </row>
    <row r="40" spans="1:14">
      <c r="A40" s="52">
        <v>35</v>
      </c>
      <c r="B40" s="3"/>
      <c r="C40" s="16"/>
      <c r="D40" s="16"/>
      <c r="E40" s="16"/>
      <c r="F40" s="16"/>
      <c r="G40" s="16"/>
      <c r="H40" s="16"/>
      <c r="I40" s="16"/>
      <c r="J40" s="16"/>
      <c r="K40" s="46"/>
      <c r="L40" s="28"/>
      <c r="M40" s="28"/>
      <c r="N40" s="28"/>
    </row>
    <row r="41" spans="1:14">
      <c r="A41" s="52">
        <v>36</v>
      </c>
      <c r="B41" s="3"/>
      <c r="C41" s="16"/>
      <c r="D41" s="16"/>
      <c r="E41" s="16"/>
      <c r="F41" s="16"/>
      <c r="G41" s="16"/>
      <c r="H41" s="16"/>
      <c r="I41" s="16"/>
      <c r="J41" s="16"/>
      <c r="K41" s="46"/>
      <c r="L41" s="28"/>
      <c r="M41" s="28"/>
      <c r="N41" s="28"/>
    </row>
    <row r="42" spans="1:14">
      <c r="A42" s="52">
        <v>37</v>
      </c>
      <c r="B42" s="3"/>
      <c r="C42" s="16"/>
      <c r="D42" s="16"/>
      <c r="E42" s="16"/>
      <c r="F42" s="16"/>
      <c r="G42" s="16"/>
      <c r="H42" s="16"/>
      <c r="I42" s="16"/>
      <c r="J42" s="16"/>
      <c r="K42" s="46"/>
      <c r="L42" s="28"/>
      <c r="M42" s="28"/>
      <c r="N42" s="28"/>
    </row>
    <row r="43" spans="1:14">
      <c r="A43" s="52">
        <v>38</v>
      </c>
      <c r="B43" s="3"/>
      <c r="C43" s="16"/>
      <c r="D43" s="16"/>
      <c r="E43" s="16"/>
      <c r="F43" s="16"/>
      <c r="G43" s="16"/>
      <c r="H43" s="16"/>
      <c r="I43" s="16"/>
      <c r="J43" s="16"/>
      <c r="K43" s="46"/>
      <c r="L43" s="28"/>
      <c r="M43" s="28"/>
      <c r="N43" s="28"/>
    </row>
    <row r="44" spans="1:14">
      <c r="A44" s="52">
        <v>39</v>
      </c>
      <c r="B44" s="3"/>
      <c r="C44" s="16"/>
      <c r="D44" s="16"/>
      <c r="E44" s="16"/>
      <c r="F44" s="16"/>
      <c r="G44" s="16"/>
      <c r="H44" s="16"/>
      <c r="I44" s="16"/>
      <c r="J44" s="16"/>
      <c r="K44" s="46"/>
      <c r="L44" s="28"/>
      <c r="M44" s="28"/>
      <c r="N44" s="28"/>
    </row>
    <row r="45" spans="1:14">
      <c r="A45" s="52">
        <v>40</v>
      </c>
      <c r="B45" s="3"/>
      <c r="C45" s="16"/>
      <c r="D45" s="16"/>
      <c r="E45" s="16"/>
      <c r="F45" s="16"/>
      <c r="G45" s="16"/>
      <c r="H45" s="16"/>
      <c r="I45" s="16"/>
      <c r="J45" s="16"/>
      <c r="K45" s="46"/>
      <c r="L45" s="28"/>
      <c r="M45" s="28"/>
      <c r="N45" s="28"/>
    </row>
    <row r="46" spans="1:14">
      <c r="A46" s="52">
        <v>41</v>
      </c>
      <c r="B46" s="3"/>
      <c r="C46" s="16"/>
      <c r="D46" s="16"/>
      <c r="E46" s="16"/>
      <c r="F46" s="16"/>
      <c r="G46" s="16"/>
      <c r="H46" s="16"/>
      <c r="I46" s="16"/>
      <c r="J46" s="16"/>
      <c r="K46" s="46"/>
      <c r="L46" s="28"/>
      <c r="M46" s="28"/>
      <c r="N46" s="28"/>
    </row>
    <row r="47" spans="1:14">
      <c r="A47" s="52">
        <v>42</v>
      </c>
      <c r="B47" s="3"/>
      <c r="C47" s="16"/>
      <c r="D47" s="16"/>
      <c r="E47" s="16"/>
      <c r="F47" s="16"/>
      <c r="G47" s="16"/>
      <c r="H47" s="16"/>
      <c r="I47" s="16"/>
      <c r="J47" s="16"/>
      <c r="K47" s="46"/>
      <c r="L47" s="28"/>
      <c r="M47" s="28"/>
      <c r="N47" s="28"/>
    </row>
    <row r="48" spans="1:14">
      <c r="A48" s="52">
        <v>43</v>
      </c>
      <c r="B48" s="3"/>
      <c r="C48" s="16"/>
      <c r="D48" s="16"/>
      <c r="E48" s="16"/>
      <c r="F48" s="16"/>
      <c r="G48" s="16"/>
      <c r="H48" s="16"/>
      <c r="I48" s="16"/>
      <c r="J48" s="16"/>
      <c r="K48" s="46"/>
      <c r="L48" s="28"/>
      <c r="M48" s="28"/>
      <c r="N48" s="28"/>
    </row>
    <row r="49" spans="1:14">
      <c r="A49" s="52">
        <v>44</v>
      </c>
      <c r="B49" s="3"/>
      <c r="C49" s="16"/>
      <c r="D49" s="16"/>
      <c r="E49" s="16"/>
      <c r="F49" s="16"/>
      <c r="G49" s="16"/>
      <c r="H49" s="16"/>
      <c r="I49" s="16"/>
      <c r="J49" s="16"/>
      <c r="K49" s="46"/>
      <c r="L49" s="28"/>
      <c r="M49" s="28"/>
      <c r="N49" s="28"/>
    </row>
    <row r="50" spans="1:14">
      <c r="A50" s="52">
        <v>45</v>
      </c>
      <c r="B50" s="3"/>
      <c r="C50" s="16"/>
      <c r="D50" s="16"/>
      <c r="E50" s="16"/>
      <c r="F50" s="16"/>
      <c r="G50" s="16"/>
      <c r="H50" s="16"/>
      <c r="I50" s="16"/>
      <c r="J50" s="16"/>
      <c r="K50" s="46"/>
      <c r="L50" s="28"/>
      <c r="M50" s="28"/>
      <c r="N50" s="28"/>
    </row>
    <row r="51" spans="1:14">
      <c r="A51" s="52">
        <v>46</v>
      </c>
      <c r="B51" s="3"/>
      <c r="C51" s="16"/>
      <c r="D51" s="16"/>
      <c r="E51" s="16"/>
      <c r="F51" s="16"/>
      <c r="G51" s="16"/>
      <c r="H51" s="16"/>
      <c r="I51" s="16"/>
      <c r="J51" s="16"/>
      <c r="K51" s="46"/>
      <c r="L51" s="28"/>
      <c r="M51" s="28"/>
      <c r="N51" s="28"/>
    </row>
    <row r="52" spans="1:14">
      <c r="A52" s="52">
        <v>47</v>
      </c>
      <c r="B52" s="3"/>
      <c r="C52" s="16"/>
      <c r="D52" s="16"/>
      <c r="E52" s="16"/>
      <c r="F52" s="16"/>
      <c r="G52" s="16"/>
      <c r="H52" s="16"/>
      <c r="I52" s="16"/>
      <c r="J52" s="16"/>
      <c r="K52" s="46"/>
      <c r="L52" s="28"/>
      <c r="M52" s="28"/>
      <c r="N52" s="28"/>
    </row>
    <row r="53" spans="1:14">
      <c r="A53" s="52">
        <v>48</v>
      </c>
      <c r="B53" s="3"/>
      <c r="C53" s="16"/>
      <c r="D53" s="16"/>
      <c r="E53" s="16"/>
      <c r="F53" s="16"/>
      <c r="G53" s="16"/>
      <c r="H53" s="16"/>
      <c r="I53" s="16"/>
      <c r="J53" s="16"/>
      <c r="K53" s="46"/>
      <c r="L53" s="28"/>
      <c r="M53" s="28"/>
      <c r="N53" s="28"/>
    </row>
    <row r="54" spans="1:14">
      <c r="A54" s="52">
        <v>49</v>
      </c>
      <c r="B54" s="3"/>
      <c r="C54" s="16"/>
      <c r="D54" s="16"/>
      <c r="E54" s="16"/>
      <c r="F54" s="16"/>
      <c r="G54" s="16"/>
      <c r="H54" s="16"/>
      <c r="I54" s="16"/>
      <c r="J54" s="16"/>
      <c r="K54" s="46"/>
      <c r="L54" s="28"/>
      <c r="M54" s="28"/>
      <c r="N54" s="28"/>
    </row>
    <row r="55" spans="1:14" ht="15" thickBot="1">
      <c r="A55" s="53">
        <v>50</v>
      </c>
      <c r="B55" s="55"/>
      <c r="C55" s="48"/>
      <c r="D55" s="48"/>
      <c r="E55" s="48"/>
      <c r="F55" s="48"/>
      <c r="G55" s="48"/>
      <c r="H55" s="48"/>
      <c r="I55" s="48"/>
      <c r="J55" s="48"/>
      <c r="K55" s="49"/>
      <c r="L55" s="28"/>
      <c r="M55" s="28"/>
      <c r="N55" s="28"/>
    </row>
    <row r="56" spans="1:14">
      <c r="A56" s="28"/>
      <c r="B56" s="28"/>
      <c r="C56" s="28"/>
      <c r="D56" s="28"/>
      <c r="E56" s="28"/>
      <c r="F56" s="28"/>
      <c r="G56" s="28"/>
      <c r="H56" s="28"/>
      <c r="I56" s="28"/>
      <c r="J56" s="28"/>
      <c r="K56" s="28"/>
      <c r="L56" s="28"/>
      <c r="M56" s="28"/>
      <c r="N56" s="28"/>
    </row>
    <row r="57" spans="1:14">
      <c r="A57" s="28"/>
      <c r="B57" s="28"/>
      <c r="C57" s="28"/>
      <c r="D57" s="28"/>
      <c r="E57" s="28"/>
      <c r="F57" s="28"/>
      <c r="G57" s="28"/>
      <c r="H57" s="28"/>
      <c r="I57" s="28"/>
      <c r="J57" s="28"/>
      <c r="K57" s="28"/>
      <c r="L57" s="28"/>
      <c r="M57" s="28"/>
      <c r="N57" s="28"/>
    </row>
    <row r="58" spans="1:14">
      <c r="A58" s="28"/>
      <c r="B58" s="28"/>
      <c r="C58" s="28"/>
      <c r="D58" s="28"/>
      <c r="E58" s="28"/>
      <c r="F58" s="28"/>
      <c r="G58" s="28"/>
      <c r="H58" s="28"/>
      <c r="I58" s="28"/>
      <c r="J58" s="28"/>
      <c r="K58" s="28"/>
      <c r="L58" s="28"/>
      <c r="M58" s="28"/>
      <c r="N58" s="28"/>
    </row>
    <row r="59" spans="1:14">
      <c r="A59" s="28"/>
      <c r="B59" s="28"/>
      <c r="C59" s="28"/>
      <c r="D59" s="28"/>
      <c r="E59" s="28"/>
      <c r="F59" s="28"/>
      <c r="G59" s="28"/>
      <c r="H59" s="28"/>
      <c r="I59" s="28"/>
      <c r="J59" s="28"/>
      <c r="K59" s="28"/>
      <c r="L59" s="28"/>
      <c r="M59" s="28"/>
      <c r="N59" s="28"/>
    </row>
    <row r="60" spans="1:14">
      <c r="A60" s="28"/>
      <c r="B60" s="28"/>
      <c r="C60" s="28"/>
      <c r="D60" s="28"/>
      <c r="E60" s="28"/>
      <c r="F60" s="28"/>
      <c r="G60" s="28"/>
      <c r="H60" s="28"/>
      <c r="I60" s="28"/>
      <c r="J60" s="28"/>
      <c r="K60" s="28"/>
      <c r="L60" s="28"/>
      <c r="M60" s="28"/>
      <c r="N60" s="28"/>
    </row>
    <row r="61" spans="1:14">
      <c r="A61" s="28"/>
      <c r="B61" s="28"/>
      <c r="C61" s="28"/>
      <c r="D61" s="28"/>
      <c r="E61" s="28"/>
      <c r="F61" s="28"/>
      <c r="G61" s="28"/>
      <c r="H61" s="28"/>
      <c r="I61" s="28"/>
      <c r="J61" s="28"/>
      <c r="K61" s="28"/>
      <c r="L61" s="28"/>
      <c r="M61" s="28"/>
      <c r="N61" s="28"/>
    </row>
    <row r="62" spans="1:14">
      <c r="A62" s="28"/>
      <c r="B62" s="28"/>
      <c r="C62" s="28"/>
      <c r="D62" s="28"/>
      <c r="E62" s="28"/>
      <c r="F62" s="28"/>
      <c r="G62" s="28"/>
      <c r="H62" s="28"/>
      <c r="I62" s="28"/>
      <c r="J62" s="28"/>
      <c r="K62" s="28"/>
      <c r="L62" s="28"/>
      <c r="M62" s="28"/>
      <c r="N62" s="28"/>
    </row>
  </sheetData>
  <autoFilter ref="A5:K5" xr:uid="{00000000-0009-0000-0000-000014000000}"/>
  <mergeCells count="2">
    <mergeCell ref="A1:G1"/>
    <mergeCell ref="A3:G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18"/>
  <dimension ref="A1:N18"/>
  <sheetViews>
    <sheetView zoomScaleNormal="100" workbookViewId="0">
      <selection activeCell="M7" sqref="M7:M8"/>
    </sheetView>
  </sheetViews>
  <sheetFormatPr baseColWidth="10" defaultRowHeight="14.5"/>
  <cols>
    <col min="1" max="1" width="5.26953125" customWidth="1"/>
    <col min="2" max="2" width="11.81640625" customWidth="1"/>
    <col min="3" max="4" width="25.81640625" customWidth="1"/>
    <col min="5" max="7" width="11.1796875" customWidth="1"/>
    <col min="8" max="10" width="15.1796875" customWidth="1"/>
    <col min="11" max="12" width="16.7265625" customWidth="1"/>
    <col min="13" max="13" width="25.453125" customWidth="1"/>
    <col min="14" max="14" width="16.7265625" customWidth="1"/>
  </cols>
  <sheetData>
    <row r="1" spans="1:14" ht="34.5" customHeight="1">
      <c r="A1" s="547" t="s">
        <v>401</v>
      </c>
      <c r="B1" s="548"/>
      <c r="C1" s="548"/>
      <c r="D1" s="548"/>
      <c r="E1" s="548"/>
      <c r="F1" s="548"/>
      <c r="G1" s="548"/>
      <c r="H1" s="66"/>
      <c r="I1" s="66"/>
      <c r="J1" s="66"/>
      <c r="K1" s="66"/>
      <c r="L1" s="28"/>
      <c r="M1" s="28"/>
      <c r="N1" s="28"/>
    </row>
    <row r="2" spans="1:14" ht="12.75" customHeight="1">
      <c r="A2" s="549" t="s">
        <v>327</v>
      </c>
      <c r="B2" s="549"/>
      <c r="C2" s="549"/>
      <c r="D2" s="549"/>
      <c r="E2" s="549"/>
      <c r="F2" s="549"/>
      <c r="G2" s="549"/>
      <c r="H2" s="549"/>
      <c r="I2" s="98"/>
      <c r="J2" s="98"/>
      <c r="K2" s="98"/>
      <c r="L2" s="28"/>
      <c r="M2" s="28"/>
      <c r="N2" s="28"/>
    </row>
    <row r="3" spans="1:14" ht="28.5" customHeight="1">
      <c r="A3" s="549"/>
      <c r="B3" s="549"/>
      <c r="C3" s="549"/>
      <c r="D3" s="549"/>
      <c r="E3" s="549"/>
      <c r="F3" s="549"/>
      <c r="G3" s="549"/>
      <c r="H3" s="549"/>
      <c r="I3" s="98"/>
      <c r="J3" s="98"/>
      <c r="K3" s="98"/>
      <c r="L3" s="28"/>
      <c r="M3" s="28"/>
      <c r="N3" s="28"/>
    </row>
    <row r="4" spans="1:14" ht="16" thickBot="1">
      <c r="A4" s="98"/>
      <c r="B4" s="98"/>
      <c r="C4" s="98"/>
      <c r="D4" s="98"/>
      <c r="E4" s="98"/>
      <c r="F4" s="98"/>
      <c r="G4" s="98"/>
      <c r="H4" s="98"/>
      <c r="I4" s="98"/>
      <c r="J4" s="98"/>
      <c r="K4" s="98"/>
      <c r="L4" s="28"/>
      <c r="M4" s="28"/>
      <c r="N4" s="28"/>
    </row>
    <row r="5" spans="1:14" ht="16.5" customHeight="1">
      <c r="A5" s="533" t="s">
        <v>29</v>
      </c>
      <c r="B5" s="531" t="s">
        <v>175</v>
      </c>
      <c r="C5" s="534" t="s">
        <v>178</v>
      </c>
      <c r="D5" s="534"/>
      <c r="E5" s="534"/>
      <c r="F5" s="534"/>
      <c r="G5" s="534"/>
      <c r="H5" s="534"/>
      <c r="I5" s="534"/>
      <c r="J5" s="534"/>
      <c r="K5" s="534"/>
      <c r="L5" s="529" t="s">
        <v>179</v>
      </c>
      <c r="M5" s="530"/>
      <c r="N5" s="526" t="s">
        <v>0</v>
      </c>
    </row>
    <row r="6" spans="1:14" ht="45.75" customHeight="1">
      <c r="A6" s="473"/>
      <c r="B6" s="532"/>
      <c r="C6" s="427" t="s">
        <v>265</v>
      </c>
      <c r="D6" s="427" t="s">
        <v>45</v>
      </c>
      <c r="E6" s="427" t="s">
        <v>490</v>
      </c>
      <c r="F6" s="427"/>
      <c r="G6" s="427"/>
      <c r="H6" s="143" t="s">
        <v>169</v>
      </c>
      <c r="I6" s="544" t="s">
        <v>324</v>
      </c>
      <c r="J6" s="427" t="s">
        <v>325</v>
      </c>
      <c r="K6" s="427" t="s">
        <v>330</v>
      </c>
      <c r="L6" s="535" t="s">
        <v>172</v>
      </c>
      <c r="M6" s="142" t="s">
        <v>323</v>
      </c>
      <c r="N6" s="527"/>
    </row>
    <row r="7" spans="1:14" ht="26.25" customHeight="1">
      <c r="A7" s="473"/>
      <c r="B7" s="532"/>
      <c r="C7" s="427"/>
      <c r="D7" s="427"/>
      <c r="E7" s="538" t="s">
        <v>170</v>
      </c>
      <c r="F7" s="538" t="s">
        <v>171</v>
      </c>
      <c r="G7" s="538" t="s">
        <v>108</v>
      </c>
      <c r="H7" s="542" t="s">
        <v>491</v>
      </c>
      <c r="I7" s="545"/>
      <c r="J7" s="427"/>
      <c r="K7" s="427"/>
      <c r="L7" s="536"/>
      <c r="M7" s="540" t="s">
        <v>322</v>
      </c>
      <c r="N7" s="527"/>
    </row>
    <row r="8" spans="1:14" ht="15" thickBot="1">
      <c r="A8" s="473"/>
      <c r="B8" s="532"/>
      <c r="C8" s="427"/>
      <c r="D8" s="427"/>
      <c r="E8" s="539"/>
      <c r="F8" s="539"/>
      <c r="G8" s="539"/>
      <c r="H8" s="543"/>
      <c r="I8" s="546"/>
      <c r="J8" s="427"/>
      <c r="K8" s="427"/>
      <c r="L8" s="537"/>
      <c r="M8" s="541"/>
      <c r="N8" s="528"/>
    </row>
    <row r="9" spans="1:14">
      <c r="A9" s="67">
        <v>2</v>
      </c>
      <c r="B9" s="65"/>
      <c r="C9" s="68"/>
      <c r="D9" s="69"/>
      <c r="E9" s="69"/>
      <c r="F9" s="69"/>
      <c r="G9" s="69"/>
      <c r="H9" s="69"/>
      <c r="I9" s="69"/>
      <c r="J9" s="69"/>
      <c r="K9" s="69"/>
      <c r="L9" s="70"/>
      <c r="M9" s="71"/>
      <c r="N9" s="72"/>
    </row>
    <row r="10" spans="1:14">
      <c r="A10" s="173">
        <v>1</v>
      </c>
      <c r="B10" s="40"/>
      <c r="C10" s="174"/>
      <c r="D10" s="16"/>
      <c r="E10" s="16"/>
      <c r="F10" s="16"/>
      <c r="G10" s="16"/>
      <c r="H10" s="16"/>
      <c r="I10" s="16"/>
      <c r="J10" s="16"/>
      <c r="K10" s="16"/>
      <c r="L10" s="18"/>
      <c r="M10" s="19"/>
      <c r="N10" s="46"/>
    </row>
    <row r="11" spans="1:14">
      <c r="A11" s="145">
        <v>3</v>
      </c>
      <c r="B11" s="40"/>
      <c r="C11" s="146"/>
      <c r="D11" s="16"/>
      <c r="E11" s="16"/>
      <c r="F11" s="16"/>
      <c r="G11" s="16"/>
      <c r="H11" s="16"/>
      <c r="I11" s="16"/>
      <c r="J11" s="16"/>
      <c r="K11" s="16"/>
      <c r="L11" s="18"/>
      <c r="M11" s="19"/>
      <c r="N11" s="46"/>
    </row>
    <row r="12" spans="1:14">
      <c r="A12" s="145">
        <v>4</v>
      </c>
      <c r="B12" s="40"/>
      <c r="C12" s="146"/>
      <c r="D12" s="16"/>
      <c r="E12" s="16"/>
      <c r="F12" s="16"/>
      <c r="G12" s="16"/>
      <c r="H12" s="16"/>
      <c r="I12" s="16"/>
      <c r="J12" s="16"/>
      <c r="K12" s="16"/>
      <c r="L12" s="18"/>
      <c r="M12" s="19"/>
      <c r="N12" s="46"/>
    </row>
    <row r="13" spans="1:14">
      <c r="A13" s="145">
        <v>5</v>
      </c>
      <c r="B13" s="40"/>
      <c r="C13" s="146"/>
      <c r="D13" s="16"/>
      <c r="E13" s="16"/>
      <c r="F13" s="16"/>
      <c r="G13" s="16"/>
      <c r="H13" s="16"/>
      <c r="I13" s="16"/>
      <c r="J13" s="16"/>
      <c r="K13" s="16"/>
      <c r="L13" s="18"/>
      <c r="M13" s="19"/>
      <c r="N13" s="46"/>
    </row>
    <row r="14" spans="1:14">
      <c r="A14" s="145">
        <v>6</v>
      </c>
      <c r="B14" s="40"/>
      <c r="C14" s="146"/>
      <c r="D14" s="16"/>
      <c r="E14" s="16"/>
      <c r="F14" s="16"/>
      <c r="G14" s="16"/>
      <c r="H14" s="16"/>
      <c r="I14" s="16"/>
      <c r="J14" s="16"/>
      <c r="K14" s="16"/>
      <c r="L14" s="18"/>
      <c r="M14" s="19"/>
      <c r="N14" s="46"/>
    </row>
    <row r="15" spans="1:14">
      <c r="A15" s="145">
        <v>7</v>
      </c>
      <c r="B15" s="40"/>
      <c r="C15" s="146"/>
      <c r="D15" s="16"/>
      <c r="E15" s="16"/>
      <c r="F15" s="16"/>
      <c r="G15" s="16"/>
      <c r="H15" s="16"/>
      <c r="I15" s="16"/>
      <c r="J15" s="16"/>
      <c r="K15" s="16"/>
      <c r="L15" s="18"/>
      <c r="M15" s="19"/>
      <c r="N15" s="46"/>
    </row>
    <row r="16" spans="1:14">
      <c r="A16" s="145">
        <v>8</v>
      </c>
      <c r="B16" s="40"/>
      <c r="C16" s="146"/>
      <c r="D16" s="16"/>
      <c r="E16" s="16"/>
      <c r="F16" s="16"/>
      <c r="G16" s="16"/>
      <c r="H16" s="16"/>
      <c r="I16" s="16"/>
      <c r="J16" s="16"/>
      <c r="K16" s="16"/>
      <c r="L16" s="18"/>
      <c r="M16" s="19"/>
      <c r="N16" s="46"/>
    </row>
    <row r="17" spans="1:14">
      <c r="A17" s="145">
        <v>9</v>
      </c>
      <c r="B17" s="40"/>
      <c r="C17" s="146"/>
      <c r="D17" s="16"/>
      <c r="E17" s="16"/>
      <c r="F17" s="16"/>
      <c r="G17" s="16"/>
      <c r="H17" s="16"/>
      <c r="I17" s="16"/>
      <c r="J17" s="16"/>
      <c r="K17" s="16"/>
      <c r="L17" s="18"/>
      <c r="M17" s="19"/>
      <c r="N17" s="46"/>
    </row>
    <row r="18" spans="1:14" ht="15" thickBot="1">
      <c r="A18" s="53">
        <v>10</v>
      </c>
      <c r="B18" s="147"/>
      <c r="C18" s="55"/>
      <c r="D18" s="48"/>
      <c r="E18" s="48"/>
      <c r="F18" s="48"/>
      <c r="G18" s="48"/>
      <c r="H18" s="48"/>
      <c r="I18" s="48"/>
      <c r="J18" s="48"/>
      <c r="K18" s="48"/>
      <c r="L18" s="61"/>
      <c r="M18" s="62"/>
      <c r="N18" s="49"/>
    </row>
  </sheetData>
  <autoFilter ref="A8:N18" xr:uid="{00000000-0009-0000-0000-000015000000}">
    <sortState xmlns:xlrd2="http://schemas.microsoft.com/office/spreadsheetml/2017/richdata2" ref="A12:N18">
      <sortCondition ref="F8:F18"/>
    </sortState>
  </autoFilter>
  <mergeCells count="19">
    <mergeCell ref="J6:J8"/>
    <mergeCell ref="A1:G1"/>
    <mergeCell ref="A2:H3"/>
    <mergeCell ref="N5:N8"/>
    <mergeCell ref="L5:M5"/>
    <mergeCell ref="B5:B8"/>
    <mergeCell ref="A5:A8"/>
    <mergeCell ref="C5:K5"/>
    <mergeCell ref="E6:G6"/>
    <mergeCell ref="D6:D8"/>
    <mergeCell ref="C6:C8"/>
    <mergeCell ref="K6:K8"/>
    <mergeCell ref="L6:L8"/>
    <mergeCell ref="E7:E8"/>
    <mergeCell ref="F7:F8"/>
    <mergeCell ref="G7:G8"/>
    <mergeCell ref="M7:M8"/>
    <mergeCell ref="H7:H8"/>
    <mergeCell ref="I6: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19"/>
  <dimension ref="A1:M55"/>
  <sheetViews>
    <sheetView topLeftCell="E1" zoomScaleNormal="100" workbookViewId="0">
      <selection activeCell="M5" sqref="M5"/>
    </sheetView>
  </sheetViews>
  <sheetFormatPr baseColWidth="10" defaultRowHeight="14.5"/>
  <cols>
    <col min="1" max="1" width="5.81640625" customWidth="1"/>
    <col min="2" max="2" width="10.7265625" customWidth="1"/>
    <col min="3" max="13" width="19.1796875" customWidth="1"/>
  </cols>
  <sheetData>
    <row r="1" spans="1:13" ht="30.75" customHeight="1">
      <c r="A1" s="547" t="s">
        <v>400</v>
      </c>
      <c r="B1" s="548"/>
      <c r="C1" s="548"/>
      <c r="D1" s="548"/>
      <c r="E1" s="548"/>
      <c r="F1" s="548"/>
      <c r="G1" s="548"/>
      <c r="H1" s="236"/>
      <c r="I1" s="236"/>
      <c r="J1" s="236"/>
      <c r="K1" s="28"/>
      <c r="L1" s="28"/>
      <c r="M1" s="28"/>
    </row>
    <row r="2" spans="1:13" ht="13.5" customHeight="1">
      <c r="A2" s="98"/>
      <c r="B2" s="98"/>
      <c r="C2" s="98"/>
      <c r="D2" s="98"/>
      <c r="E2" s="98"/>
      <c r="F2" s="98"/>
      <c r="G2" s="98"/>
      <c r="H2" s="98"/>
      <c r="I2" s="98"/>
      <c r="J2" s="98"/>
      <c r="K2" s="28"/>
      <c r="L2" s="28"/>
      <c r="M2" s="28"/>
    </row>
    <row r="3" spans="1:13" ht="45.75" customHeight="1">
      <c r="A3" s="550" t="s">
        <v>492</v>
      </c>
      <c r="B3" s="549"/>
      <c r="C3" s="549"/>
      <c r="D3" s="549"/>
      <c r="E3" s="549"/>
      <c r="F3" s="549"/>
      <c r="G3" s="549"/>
      <c r="H3" s="549"/>
      <c r="I3" s="549"/>
      <c r="J3" s="549"/>
      <c r="K3" s="28"/>
      <c r="L3" s="28"/>
      <c r="M3" s="28"/>
    </row>
    <row r="4" spans="1:13" ht="15.5">
      <c r="A4" s="98"/>
      <c r="B4" s="98"/>
      <c r="C4" s="98"/>
      <c r="D4" s="98"/>
      <c r="E4" s="98"/>
      <c r="F4" s="98"/>
      <c r="G4" s="98"/>
      <c r="H4" s="98"/>
      <c r="I4" s="98"/>
      <c r="J4" s="98"/>
      <c r="K4" s="28"/>
      <c r="L4" s="28"/>
      <c r="M4" s="28"/>
    </row>
    <row r="5" spans="1:13" ht="85" customHeight="1">
      <c r="A5" s="201" t="s">
        <v>29</v>
      </c>
      <c r="B5" s="201" t="s">
        <v>175</v>
      </c>
      <c r="C5" s="189" t="s">
        <v>326</v>
      </c>
      <c r="D5" s="189" t="s">
        <v>266</v>
      </c>
      <c r="E5" s="189" t="s">
        <v>45</v>
      </c>
      <c r="F5" s="189" t="s">
        <v>493</v>
      </c>
      <c r="G5" s="189" t="s">
        <v>329</v>
      </c>
      <c r="H5" s="189" t="s">
        <v>328</v>
      </c>
      <c r="I5" s="189" t="s">
        <v>180</v>
      </c>
      <c r="J5" s="189" t="s">
        <v>330</v>
      </c>
      <c r="K5" s="192" t="s">
        <v>172</v>
      </c>
      <c r="L5" s="192" t="s">
        <v>428</v>
      </c>
      <c r="M5" s="29" t="s">
        <v>0</v>
      </c>
    </row>
    <row r="6" spans="1:13">
      <c r="A6" s="67">
        <v>1</v>
      </c>
      <c r="B6" s="65"/>
      <c r="C6" s="68"/>
      <c r="D6" s="68"/>
      <c r="E6" s="69"/>
      <c r="F6" s="69"/>
      <c r="G6" s="69"/>
      <c r="H6" s="69"/>
      <c r="I6" s="69"/>
      <c r="J6" s="69"/>
      <c r="K6" s="70"/>
      <c r="L6" s="71"/>
      <c r="M6" s="72"/>
    </row>
    <row r="7" spans="1:13">
      <c r="A7" s="52">
        <v>2</v>
      </c>
      <c r="B7" s="40"/>
      <c r="C7" s="3"/>
      <c r="D7" s="3"/>
      <c r="E7" s="16"/>
      <c r="F7" s="16"/>
      <c r="G7" s="16"/>
      <c r="H7" s="16"/>
      <c r="I7" s="16"/>
      <c r="J7" s="16"/>
      <c r="K7" s="18"/>
      <c r="L7" s="19"/>
      <c r="M7" s="46"/>
    </row>
    <row r="8" spans="1:13">
      <c r="A8" s="52">
        <v>3</v>
      </c>
      <c r="B8" s="40"/>
      <c r="C8" s="3"/>
      <c r="D8" s="3"/>
      <c r="E8" s="16"/>
      <c r="F8" s="16"/>
      <c r="G8" s="16"/>
      <c r="H8" s="16"/>
      <c r="I8" s="16"/>
      <c r="J8" s="16"/>
      <c r="K8" s="18"/>
      <c r="L8" s="19"/>
      <c r="M8" s="46"/>
    </row>
    <row r="9" spans="1:13">
      <c r="A9" s="52">
        <v>4</v>
      </c>
      <c r="B9" s="40"/>
      <c r="C9" s="3"/>
      <c r="D9" s="3"/>
      <c r="E9" s="16"/>
      <c r="F9" s="16"/>
      <c r="G9" s="16"/>
      <c r="H9" s="16"/>
      <c r="I9" s="16"/>
      <c r="J9" s="16"/>
      <c r="K9" s="18"/>
      <c r="L9" s="19"/>
      <c r="M9" s="46"/>
    </row>
    <row r="10" spans="1:13">
      <c r="A10" s="52">
        <v>5</v>
      </c>
      <c r="B10" s="40"/>
      <c r="C10" s="3"/>
      <c r="D10" s="3"/>
      <c r="E10" s="16"/>
      <c r="F10" s="16"/>
      <c r="G10" s="16"/>
      <c r="H10" s="16"/>
      <c r="I10" s="16"/>
      <c r="J10" s="16"/>
      <c r="K10" s="18"/>
      <c r="L10" s="19"/>
      <c r="M10" s="46"/>
    </row>
    <row r="11" spans="1:13">
      <c r="A11" s="52">
        <v>6</v>
      </c>
      <c r="B11" s="40"/>
      <c r="C11" s="3"/>
      <c r="D11" s="3"/>
      <c r="E11" s="16"/>
      <c r="F11" s="16"/>
      <c r="G11" s="16"/>
      <c r="H11" s="16"/>
      <c r="I11" s="16"/>
      <c r="J11" s="16"/>
      <c r="K11" s="18"/>
      <c r="L11" s="19"/>
      <c r="M11" s="46"/>
    </row>
    <row r="12" spans="1:13">
      <c r="A12" s="52">
        <v>7</v>
      </c>
      <c r="B12" s="40"/>
      <c r="C12" s="3"/>
      <c r="D12" s="3"/>
      <c r="E12" s="16"/>
      <c r="F12" s="16"/>
      <c r="G12" s="16"/>
      <c r="H12" s="16"/>
      <c r="I12" s="16"/>
      <c r="J12" s="16"/>
      <c r="K12" s="18"/>
      <c r="L12" s="19"/>
      <c r="M12" s="46"/>
    </row>
    <row r="13" spans="1:13">
      <c r="A13" s="52">
        <v>8</v>
      </c>
      <c r="B13" s="40"/>
      <c r="C13" s="3"/>
      <c r="D13" s="3"/>
      <c r="E13" s="16"/>
      <c r="F13" s="16"/>
      <c r="G13" s="16"/>
      <c r="H13" s="16"/>
      <c r="I13" s="16"/>
      <c r="J13" s="16"/>
      <c r="K13" s="18"/>
      <c r="L13" s="19"/>
      <c r="M13" s="46"/>
    </row>
    <row r="14" spans="1:13">
      <c r="A14" s="52">
        <v>9</v>
      </c>
      <c r="B14" s="40"/>
      <c r="C14" s="3"/>
      <c r="D14" s="3"/>
      <c r="E14" s="16"/>
      <c r="F14" s="16"/>
      <c r="G14" s="16"/>
      <c r="H14" s="16"/>
      <c r="I14" s="16"/>
      <c r="J14" s="16"/>
      <c r="K14" s="18"/>
      <c r="L14" s="19"/>
      <c r="M14" s="46"/>
    </row>
    <row r="15" spans="1:13">
      <c r="A15" s="52">
        <v>10</v>
      </c>
      <c r="B15" s="40"/>
      <c r="C15" s="3"/>
      <c r="D15" s="3"/>
      <c r="E15" s="16"/>
      <c r="F15" s="16"/>
      <c r="G15" s="16"/>
      <c r="H15" s="16"/>
      <c r="I15" s="16"/>
      <c r="J15" s="16"/>
      <c r="K15" s="18"/>
      <c r="L15" s="19"/>
      <c r="M15" s="46"/>
    </row>
    <row r="16" spans="1:13">
      <c r="A16" s="52">
        <v>11</v>
      </c>
      <c r="B16" s="40"/>
      <c r="C16" s="3"/>
      <c r="D16" s="3"/>
      <c r="E16" s="16"/>
      <c r="F16" s="16"/>
      <c r="G16" s="16"/>
      <c r="H16" s="16"/>
      <c r="I16" s="16"/>
      <c r="J16" s="16"/>
      <c r="K16" s="18"/>
      <c r="L16" s="19"/>
      <c r="M16" s="46"/>
    </row>
    <row r="17" spans="1:13">
      <c r="A17" s="52">
        <v>12</v>
      </c>
      <c r="B17" s="40"/>
      <c r="C17" s="3"/>
      <c r="D17" s="3"/>
      <c r="E17" s="16"/>
      <c r="F17" s="16"/>
      <c r="G17" s="16"/>
      <c r="H17" s="16"/>
      <c r="I17" s="16"/>
      <c r="J17" s="16"/>
      <c r="K17" s="18"/>
      <c r="L17" s="19"/>
      <c r="M17" s="46"/>
    </row>
    <row r="18" spans="1:13">
      <c r="A18" s="52">
        <v>13</v>
      </c>
      <c r="B18" s="40"/>
      <c r="C18" s="3"/>
      <c r="D18" s="3"/>
      <c r="E18" s="16"/>
      <c r="F18" s="16"/>
      <c r="G18" s="16"/>
      <c r="H18" s="16"/>
      <c r="I18" s="16"/>
      <c r="J18" s="16"/>
      <c r="K18" s="18"/>
      <c r="L18" s="19"/>
      <c r="M18" s="46"/>
    </row>
    <row r="19" spans="1:13">
      <c r="A19" s="52">
        <v>14</v>
      </c>
      <c r="B19" s="40"/>
      <c r="C19" s="3"/>
      <c r="D19" s="3"/>
      <c r="E19" s="16"/>
      <c r="F19" s="16"/>
      <c r="G19" s="16"/>
      <c r="H19" s="16"/>
      <c r="I19" s="16"/>
      <c r="J19" s="16"/>
      <c r="K19" s="18"/>
      <c r="L19" s="19"/>
      <c r="M19" s="46"/>
    </row>
    <row r="20" spans="1:13">
      <c r="A20" s="52">
        <v>15</v>
      </c>
      <c r="B20" s="40"/>
      <c r="C20" s="3"/>
      <c r="D20" s="3"/>
      <c r="E20" s="16"/>
      <c r="F20" s="16"/>
      <c r="G20" s="16"/>
      <c r="H20" s="16"/>
      <c r="I20" s="16"/>
      <c r="J20" s="16"/>
      <c r="K20" s="18"/>
      <c r="L20" s="19"/>
      <c r="M20" s="46"/>
    </row>
    <row r="21" spans="1:13">
      <c r="A21" s="52">
        <v>16</v>
      </c>
      <c r="B21" s="40"/>
      <c r="C21" s="3"/>
      <c r="D21" s="3"/>
      <c r="E21" s="16"/>
      <c r="F21" s="16"/>
      <c r="G21" s="16"/>
      <c r="H21" s="16"/>
      <c r="I21" s="16"/>
      <c r="J21" s="16"/>
      <c r="K21" s="18"/>
      <c r="L21" s="19"/>
      <c r="M21" s="46"/>
    </row>
    <row r="22" spans="1:13">
      <c r="A22" s="52">
        <v>17</v>
      </c>
      <c r="B22" s="40"/>
      <c r="C22" s="3"/>
      <c r="D22" s="3"/>
      <c r="E22" s="16"/>
      <c r="F22" s="16"/>
      <c r="G22" s="16"/>
      <c r="H22" s="16"/>
      <c r="I22" s="16"/>
      <c r="J22" s="16"/>
      <c r="K22" s="18"/>
      <c r="L22" s="19"/>
      <c r="M22" s="46"/>
    </row>
    <row r="23" spans="1:13">
      <c r="A23" s="52">
        <v>18</v>
      </c>
      <c r="B23" s="40"/>
      <c r="C23" s="3"/>
      <c r="D23" s="3"/>
      <c r="E23" s="16"/>
      <c r="F23" s="16"/>
      <c r="G23" s="16"/>
      <c r="H23" s="16"/>
      <c r="I23" s="16"/>
      <c r="J23" s="16"/>
      <c r="K23" s="18"/>
      <c r="L23" s="19"/>
      <c r="M23" s="46"/>
    </row>
    <row r="24" spans="1:13">
      <c r="A24" s="52">
        <v>19</v>
      </c>
      <c r="B24" s="40"/>
      <c r="C24" s="3"/>
      <c r="D24" s="3"/>
      <c r="E24" s="16"/>
      <c r="F24" s="16"/>
      <c r="G24" s="16"/>
      <c r="H24" s="16"/>
      <c r="I24" s="16"/>
      <c r="J24" s="16"/>
      <c r="K24" s="18"/>
      <c r="L24" s="19"/>
      <c r="M24" s="46"/>
    </row>
    <row r="25" spans="1:13">
      <c r="A25" s="52">
        <v>20</v>
      </c>
      <c r="B25" s="40"/>
      <c r="C25" s="3"/>
      <c r="D25" s="3"/>
      <c r="E25" s="16"/>
      <c r="F25" s="16"/>
      <c r="G25" s="16"/>
      <c r="H25" s="16"/>
      <c r="I25" s="16"/>
      <c r="J25" s="16"/>
      <c r="K25" s="18"/>
      <c r="L25" s="19"/>
      <c r="M25" s="46"/>
    </row>
    <row r="26" spans="1:13">
      <c r="A26" s="52">
        <v>21</v>
      </c>
      <c r="B26" s="40"/>
      <c r="C26" s="3"/>
      <c r="D26" s="3"/>
      <c r="E26" s="16"/>
      <c r="F26" s="16"/>
      <c r="G26" s="16"/>
      <c r="H26" s="16"/>
      <c r="I26" s="16"/>
      <c r="J26" s="16"/>
      <c r="K26" s="18"/>
      <c r="L26" s="19"/>
      <c r="M26" s="46"/>
    </row>
    <row r="27" spans="1:13">
      <c r="A27" s="52">
        <v>22</v>
      </c>
      <c r="B27" s="40"/>
      <c r="C27" s="3"/>
      <c r="D27" s="3"/>
      <c r="E27" s="16"/>
      <c r="F27" s="16"/>
      <c r="G27" s="16"/>
      <c r="H27" s="16"/>
      <c r="I27" s="16"/>
      <c r="J27" s="16"/>
      <c r="K27" s="18"/>
      <c r="L27" s="19"/>
      <c r="M27" s="46"/>
    </row>
    <row r="28" spans="1:13">
      <c r="A28" s="52">
        <v>23</v>
      </c>
      <c r="B28" s="40"/>
      <c r="C28" s="3"/>
      <c r="D28" s="3"/>
      <c r="E28" s="16"/>
      <c r="F28" s="16"/>
      <c r="G28" s="16"/>
      <c r="H28" s="16"/>
      <c r="I28" s="16"/>
      <c r="J28" s="16"/>
      <c r="K28" s="18"/>
      <c r="L28" s="19"/>
      <c r="M28" s="46"/>
    </row>
    <row r="29" spans="1:13">
      <c r="A29" s="52">
        <v>24</v>
      </c>
      <c r="B29" s="40"/>
      <c r="C29" s="3"/>
      <c r="D29" s="3"/>
      <c r="E29" s="16"/>
      <c r="F29" s="16"/>
      <c r="G29" s="16"/>
      <c r="H29" s="16"/>
      <c r="I29" s="16"/>
      <c r="J29" s="16"/>
      <c r="K29" s="18"/>
      <c r="L29" s="19"/>
      <c r="M29" s="46"/>
    </row>
    <row r="30" spans="1:13">
      <c r="A30" s="52">
        <v>25</v>
      </c>
      <c r="B30" s="40"/>
      <c r="C30" s="3"/>
      <c r="D30" s="3"/>
      <c r="E30" s="16"/>
      <c r="F30" s="16"/>
      <c r="G30" s="16"/>
      <c r="H30" s="16"/>
      <c r="I30" s="16"/>
      <c r="J30" s="16"/>
      <c r="K30" s="18"/>
      <c r="L30" s="19"/>
      <c r="M30" s="46"/>
    </row>
    <row r="31" spans="1:13">
      <c r="A31" s="52">
        <v>26</v>
      </c>
      <c r="B31" s="40"/>
      <c r="C31" s="3"/>
      <c r="D31" s="3"/>
      <c r="E31" s="16"/>
      <c r="F31" s="16"/>
      <c r="G31" s="16"/>
      <c r="H31" s="16"/>
      <c r="I31" s="16"/>
      <c r="J31" s="16"/>
      <c r="K31" s="18"/>
      <c r="L31" s="19"/>
      <c r="M31" s="46"/>
    </row>
    <row r="32" spans="1:13">
      <c r="A32" s="52">
        <v>27</v>
      </c>
      <c r="B32" s="40"/>
      <c r="C32" s="3"/>
      <c r="D32" s="3"/>
      <c r="E32" s="16"/>
      <c r="F32" s="16"/>
      <c r="G32" s="16"/>
      <c r="H32" s="16"/>
      <c r="I32" s="16"/>
      <c r="J32" s="16"/>
      <c r="K32" s="18"/>
      <c r="L32" s="19"/>
      <c r="M32" s="46"/>
    </row>
    <row r="33" spans="1:13">
      <c r="A33" s="52">
        <v>28</v>
      </c>
      <c r="B33" s="40"/>
      <c r="C33" s="3"/>
      <c r="D33" s="3"/>
      <c r="E33" s="16"/>
      <c r="F33" s="16"/>
      <c r="G33" s="16"/>
      <c r="H33" s="16"/>
      <c r="I33" s="16"/>
      <c r="J33" s="16"/>
      <c r="K33" s="18"/>
      <c r="L33" s="19"/>
      <c r="M33" s="46"/>
    </row>
    <row r="34" spans="1:13">
      <c r="A34" s="52">
        <v>29</v>
      </c>
      <c r="B34" s="40"/>
      <c r="C34" s="3"/>
      <c r="D34" s="3"/>
      <c r="E34" s="16"/>
      <c r="F34" s="16"/>
      <c r="G34" s="16"/>
      <c r="H34" s="16"/>
      <c r="I34" s="16"/>
      <c r="J34" s="16"/>
      <c r="K34" s="18"/>
      <c r="L34" s="19"/>
      <c r="M34" s="46"/>
    </row>
    <row r="35" spans="1:13">
      <c r="A35" s="52">
        <v>30</v>
      </c>
      <c r="B35" s="40"/>
      <c r="C35" s="3"/>
      <c r="D35" s="3"/>
      <c r="E35" s="16"/>
      <c r="F35" s="16"/>
      <c r="G35" s="16"/>
      <c r="H35" s="16"/>
      <c r="I35" s="16"/>
      <c r="J35" s="16"/>
      <c r="K35" s="18"/>
      <c r="L35" s="19"/>
      <c r="M35" s="46"/>
    </row>
    <row r="36" spans="1:13">
      <c r="A36" s="52">
        <v>31</v>
      </c>
      <c r="B36" s="40"/>
      <c r="C36" s="3"/>
      <c r="D36" s="3"/>
      <c r="E36" s="16"/>
      <c r="F36" s="16"/>
      <c r="G36" s="16"/>
      <c r="H36" s="16"/>
      <c r="I36" s="16"/>
      <c r="J36" s="16"/>
      <c r="K36" s="18"/>
      <c r="L36" s="19"/>
      <c r="M36" s="46"/>
    </row>
    <row r="37" spans="1:13">
      <c r="A37" s="52">
        <v>32</v>
      </c>
      <c r="B37" s="40"/>
      <c r="C37" s="3"/>
      <c r="D37" s="3"/>
      <c r="E37" s="16"/>
      <c r="F37" s="16"/>
      <c r="G37" s="16"/>
      <c r="H37" s="16"/>
      <c r="I37" s="16"/>
      <c r="J37" s="16"/>
      <c r="K37" s="18"/>
      <c r="L37" s="19"/>
      <c r="M37" s="46"/>
    </row>
    <row r="38" spans="1:13">
      <c r="A38" s="52">
        <v>33</v>
      </c>
      <c r="B38" s="40"/>
      <c r="C38" s="3"/>
      <c r="D38" s="3"/>
      <c r="E38" s="16"/>
      <c r="F38" s="16"/>
      <c r="G38" s="16"/>
      <c r="H38" s="16"/>
      <c r="I38" s="16"/>
      <c r="J38" s="16"/>
      <c r="K38" s="18"/>
      <c r="L38" s="19"/>
      <c r="M38" s="46"/>
    </row>
    <row r="39" spans="1:13">
      <c r="A39" s="52">
        <v>34</v>
      </c>
      <c r="B39" s="40"/>
      <c r="C39" s="3"/>
      <c r="D39" s="3"/>
      <c r="E39" s="16"/>
      <c r="F39" s="16"/>
      <c r="G39" s="16"/>
      <c r="H39" s="16"/>
      <c r="I39" s="16"/>
      <c r="J39" s="16"/>
      <c r="K39" s="18"/>
      <c r="L39" s="19"/>
      <c r="M39" s="46"/>
    </row>
    <row r="40" spans="1:13">
      <c r="A40" s="52">
        <v>35</v>
      </c>
      <c r="B40" s="40"/>
      <c r="C40" s="3"/>
      <c r="D40" s="3"/>
      <c r="E40" s="16"/>
      <c r="F40" s="16"/>
      <c r="G40" s="16"/>
      <c r="H40" s="16"/>
      <c r="I40" s="16"/>
      <c r="J40" s="16"/>
      <c r="K40" s="18"/>
      <c r="L40" s="19"/>
      <c r="M40" s="46"/>
    </row>
    <row r="41" spans="1:13">
      <c r="A41" s="52">
        <v>36</v>
      </c>
      <c r="B41" s="40"/>
      <c r="C41" s="3"/>
      <c r="D41" s="3"/>
      <c r="E41" s="16"/>
      <c r="F41" s="16"/>
      <c r="G41" s="16"/>
      <c r="H41" s="16"/>
      <c r="I41" s="16"/>
      <c r="J41" s="16"/>
      <c r="K41" s="18"/>
      <c r="L41" s="19"/>
      <c r="M41" s="46"/>
    </row>
    <row r="42" spans="1:13">
      <c r="A42" s="52">
        <v>37</v>
      </c>
      <c r="B42" s="40"/>
      <c r="C42" s="3"/>
      <c r="D42" s="3"/>
      <c r="E42" s="16"/>
      <c r="F42" s="16"/>
      <c r="G42" s="16"/>
      <c r="H42" s="16"/>
      <c r="I42" s="16"/>
      <c r="J42" s="16"/>
      <c r="K42" s="18"/>
      <c r="L42" s="19"/>
      <c r="M42" s="46"/>
    </row>
    <row r="43" spans="1:13">
      <c r="A43" s="52">
        <v>38</v>
      </c>
      <c r="B43" s="40"/>
      <c r="C43" s="3"/>
      <c r="D43" s="3"/>
      <c r="E43" s="16"/>
      <c r="F43" s="16"/>
      <c r="G43" s="16"/>
      <c r="H43" s="16"/>
      <c r="I43" s="16"/>
      <c r="J43" s="16"/>
      <c r="K43" s="18"/>
      <c r="L43" s="19"/>
      <c r="M43" s="46"/>
    </row>
    <row r="44" spans="1:13">
      <c r="A44" s="52">
        <v>39</v>
      </c>
      <c r="B44" s="40"/>
      <c r="C44" s="3"/>
      <c r="D44" s="3"/>
      <c r="E44" s="16"/>
      <c r="F44" s="16"/>
      <c r="G44" s="16"/>
      <c r="H44" s="16"/>
      <c r="I44" s="16"/>
      <c r="J44" s="16"/>
      <c r="K44" s="18"/>
      <c r="L44" s="19"/>
      <c r="M44" s="46"/>
    </row>
    <row r="45" spans="1:13">
      <c r="A45" s="52">
        <v>40</v>
      </c>
      <c r="B45" s="40"/>
      <c r="C45" s="3"/>
      <c r="D45" s="3"/>
      <c r="E45" s="16"/>
      <c r="F45" s="16"/>
      <c r="G45" s="16"/>
      <c r="H45" s="16"/>
      <c r="I45" s="16"/>
      <c r="J45" s="16"/>
      <c r="K45" s="18"/>
      <c r="L45" s="19"/>
      <c r="M45" s="46"/>
    </row>
    <row r="46" spans="1:13">
      <c r="A46" s="52">
        <v>41</v>
      </c>
      <c r="B46" s="40"/>
      <c r="C46" s="3"/>
      <c r="D46" s="3"/>
      <c r="E46" s="16"/>
      <c r="F46" s="16"/>
      <c r="G46" s="16"/>
      <c r="H46" s="16"/>
      <c r="I46" s="16"/>
      <c r="J46" s="16"/>
      <c r="K46" s="18"/>
      <c r="L46" s="19"/>
      <c r="M46" s="46"/>
    </row>
    <row r="47" spans="1:13">
      <c r="A47" s="52">
        <v>42</v>
      </c>
      <c r="B47" s="40"/>
      <c r="C47" s="3"/>
      <c r="D47" s="3"/>
      <c r="E47" s="16"/>
      <c r="F47" s="16"/>
      <c r="G47" s="16"/>
      <c r="H47" s="16"/>
      <c r="I47" s="16"/>
      <c r="J47" s="16"/>
      <c r="K47" s="18"/>
      <c r="L47" s="19"/>
      <c r="M47" s="46"/>
    </row>
    <row r="48" spans="1:13">
      <c r="A48" s="52">
        <v>43</v>
      </c>
      <c r="B48" s="40"/>
      <c r="C48" s="3"/>
      <c r="D48" s="3"/>
      <c r="E48" s="16"/>
      <c r="F48" s="16"/>
      <c r="G48" s="16"/>
      <c r="H48" s="16"/>
      <c r="I48" s="16"/>
      <c r="J48" s="16"/>
      <c r="K48" s="18"/>
      <c r="L48" s="19"/>
      <c r="M48" s="46"/>
    </row>
    <row r="49" spans="1:13">
      <c r="A49" s="52">
        <v>44</v>
      </c>
      <c r="B49" s="40"/>
      <c r="C49" s="3"/>
      <c r="D49" s="3"/>
      <c r="E49" s="16"/>
      <c r="F49" s="16"/>
      <c r="G49" s="16"/>
      <c r="H49" s="16"/>
      <c r="I49" s="16"/>
      <c r="J49" s="16"/>
      <c r="K49" s="18"/>
      <c r="L49" s="19"/>
      <c r="M49" s="46"/>
    </row>
    <row r="50" spans="1:13">
      <c r="A50" s="52">
        <v>45</v>
      </c>
      <c r="B50" s="40"/>
      <c r="C50" s="3"/>
      <c r="D50" s="3"/>
      <c r="E50" s="16"/>
      <c r="F50" s="16"/>
      <c r="G50" s="16"/>
      <c r="H50" s="16"/>
      <c r="I50" s="16"/>
      <c r="J50" s="16"/>
      <c r="K50" s="18"/>
      <c r="L50" s="19"/>
      <c r="M50" s="46"/>
    </row>
    <row r="51" spans="1:13">
      <c r="A51" s="52">
        <v>46</v>
      </c>
      <c r="B51" s="40"/>
      <c r="C51" s="3"/>
      <c r="D51" s="3"/>
      <c r="E51" s="16"/>
      <c r="F51" s="16"/>
      <c r="G51" s="16"/>
      <c r="H51" s="16"/>
      <c r="I51" s="16"/>
      <c r="J51" s="16"/>
      <c r="K51" s="18"/>
      <c r="L51" s="19"/>
      <c r="M51" s="46"/>
    </row>
    <row r="52" spans="1:13">
      <c r="A52" s="52">
        <v>47</v>
      </c>
      <c r="B52" s="40"/>
      <c r="C52" s="3"/>
      <c r="D52" s="3"/>
      <c r="E52" s="16"/>
      <c r="F52" s="16"/>
      <c r="G52" s="16"/>
      <c r="H52" s="16"/>
      <c r="I52" s="16"/>
      <c r="J52" s="16"/>
      <c r="K52" s="18"/>
      <c r="L52" s="19"/>
      <c r="M52" s="46"/>
    </row>
    <row r="53" spans="1:13">
      <c r="A53" s="52">
        <v>48</v>
      </c>
      <c r="B53" s="40"/>
      <c r="C53" s="3"/>
      <c r="D53" s="3"/>
      <c r="E53" s="16"/>
      <c r="F53" s="16"/>
      <c r="G53" s="16"/>
      <c r="H53" s="16"/>
      <c r="I53" s="16"/>
      <c r="J53" s="16"/>
      <c r="K53" s="18"/>
      <c r="L53" s="19"/>
      <c r="M53" s="46"/>
    </row>
    <row r="54" spans="1:13">
      <c r="A54" s="52">
        <v>49</v>
      </c>
      <c r="B54" s="3"/>
      <c r="C54" s="3"/>
      <c r="D54" s="3"/>
      <c r="E54" s="16"/>
      <c r="F54" s="16"/>
      <c r="G54" s="16"/>
      <c r="H54" s="16"/>
      <c r="I54" s="16"/>
      <c r="J54" s="16"/>
      <c r="K54" s="18"/>
      <c r="L54" s="19"/>
      <c r="M54" s="46"/>
    </row>
    <row r="55" spans="1:13" ht="15" thickBot="1">
      <c r="A55" s="53">
        <v>50</v>
      </c>
      <c r="B55" s="55"/>
      <c r="C55" s="48"/>
      <c r="D55" s="48"/>
      <c r="E55" s="48"/>
      <c r="F55" s="48"/>
      <c r="G55" s="48"/>
      <c r="H55" s="48"/>
      <c r="I55" s="48"/>
      <c r="J55" s="48"/>
      <c r="K55" s="48"/>
      <c r="L55" s="48"/>
      <c r="M55" s="49"/>
    </row>
  </sheetData>
  <autoFilter ref="A5:M5" xr:uid="{00000000-0009-0000-0000-000016000000}"/>
  <mergeCells count="2">
    <mergeCell ref="A1:G1"/>
    <mergeCell ref="A3:J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0"/>
  <dimension ref="A1:X64"/>
  <sheetViews>
    <sheetView topLeftCell="G1" zoomScaleNormal="100" workbookViewId="0">
      <selection activeCell="S6" sqref="S6:S8"/>
    </sheetView>
  </sheetViews>
  <sheetFormatPr baseColWidth="10" defaultRowHeight="14.5"/>
  <cols>
    <col min="1" max="1" width="5.453125" customWidth="1"/>
    <col min="2" max="2" width="11" customWidth="1"/>
    <col min="3" max="3" width="15.453125" customWidth="1"/>
    <col min="4" max="4" width="23.1796875" customWidth="1"/>
    <col min="5" max="5" width="16.81640625" customWidth="1"/>
    <col min="6" max="6" width="11" customWidth="1"/>
    <col min="7" max="7" width="14.7265625" customWidth="1"/>
    <col min="8" max="8" width="13.26953125" customWidth="1"/>
    <col min="9" max="9" width="14" bestFit="1" customWidth="1"/>
    <col min="10" max="10" width="9.7265625" customWidth="1"/>
    <col min="11" max="11" width="10.453125" customWidth="1"/>
    <col min="12" max="12" width="9.453125" customWidth="1"/>
    <col min="13" max="13" width="11" customWidth="1"/>
    <col min="14" max="14" width="9.26953125" customWidth="1"/>
    <col min="15" max="15" width="10.1796875" customWidth="1"/>
    <col min="16" max="16" width="9.453125" customWidth="1"/>
    <col min="17" max="17" width="10.453125" customWidth="1"/>
    <col min="18" max="18" width="18" customWidth="1"/>
    <col min="19" max="19" width="16.81640625" customWidth="1"/>
    <col min="20" max="20" width="17.81640625" customWidth="1"/>
  </cols>
  <sheetData>
    <row r="1" spans="1:24" ht="48" customHeight="1">
      <c r="A1" s="553" t="s">
        <v>399</v>
      </c>
      <c r="B1" s="553"/>
      <c r="C1" s="553"/>
      <c r="D1" s="553"/>
      <c r="E1" s="553"/>
      <c r="F1" s="553"/>
      <c r="G1" s="553"/>
      <c r="H1" s="28"/>
      <c r="I1" s="28"/>
      <c r="J1" s="28"/>
      <c r="K1" s="28"/>
      <c r="L1" s="28"/>
      <c r="M1" s="28"/>
      <c r="N1" s="28"/>
      <c r="O1" s="28"/>
      <c r="P1" s="28"/>
      <c r="Q1" s="28"/>
      <c r="R1" s="28"/>
      <c r="S1" s="28"/>
      <c r="T1" s="28"/>
      <c r="U1" s="28"/>
      <c r="V1" s="28"/>
      <c r="W1" s="28"/>
      <c r="X1" s="28"/>
    </row>
    <row r="2" spans="1:24" ht="33" customHeight="1">
      <c r="A2" s="563" t="s">
        <v>334</v>
      </c>
      <c r="B2" s="563"/>
      <c r="C2" s="563"/>
      <c r="D2" s="563"/>
      <c r="E2" s="563"/>
      <c r="F2" s="563"/>
      <c r="G2" s="563"/>
      <c r="H2" s="563"/>
      <c r="I2" s="563"/>
      <c r="J2" s="28"/>
      <c r="K2" s="28"/>
      <c r="L2" s="28"/>
      <c r="M2" s="28"/>
      <c r="N2" s="28"/>
      <c r="O2" s="28"/>
      <c r="P2" s="28"/>
      <c r="Q2" s="28"/>
      <c r="R2" s="28"/>
      <c r="S2" s="28"/>
      <c r="T2" s="28"/>
      <c r="U2" s="28"/>
      <c r="V2" s="28"/>
      <c r="W2" s="28"/>
      <c r="X2" s="28"/>
    </row>
    <row r="3" spans="1:24" ht="33" customHeight="1">
      <c r="A3" s="563" t="s">
        <v>494</v>
      </c>
      <c r="B3" s="563"/>
      <c r="C3" s="563"/>
      <c r="D3" s="563"/>
      <c r="E3" s="563"/>
      <c r="F3" s="563"/>
      <c r="G3" s="563"/>
      <c r="H3" s="563"/>
      <c r="I3" s="563"/>
      <c r="J3" s="28"/>
      <c r="K3" s="28"/>
      <c r="L3" s="28"/>
      <c r="M3" s="28"/>
      <c r="N3" s="28"/>
      <c r="O3" s="28"/>
      <c r="P3" s="28"/>
      <c r="Q3" s="28"/>
      <c r="R3" s="28"/>
      <c r="S3" s="28"/>
      <c r="T3" s="28"/>
      <c r="U3" s="28"/>
      <c r="V3" s="28"/>
      <c r="W3" s="28"/>
      <c r="X3" s="28"/>
    </row>
    <row r="4" spans="1:24" ht="16" thickBot="1">
      <c r="A4" s="99"/>
      <c r="B4" s="99"/>
      <c r="C4" s="98"/>
      <c r="D4" s="98"/>
      <c r="E4" s="98"/>
      <c r="F4" s="98"/>
      <c r="G4" s="98"/>
      <c r="H4" s="28"/>
      <c r="I4" s="28"/>
      <c r="J4" s="28"/>
      <c r="K4" s="28"/>
      <c r="L4" s="28"/>
      <c r="M4" s="28"/>
      <c r="N4" s="28"/>
      <c r="O4" s="28"/>
      <c r="P4" s="28"/>
      <c r="Q4" s="28"/>
      <c r="R4" s="28"/>
      <c r="S4" s="28"/>
      <c r="T4" s="28"/>
      <c r="U4" s="28"/>
      <c r="V4" s="28"/>
      <c r="W4" s="28"/>
      <c r="X4" s="28"/>
    </row>
    <row r="5" spans="1:24" ht="15.75" customHeight="1">
      <c r="A5" s="557" t="s">
        <v>29</v>
      </c>
      <c r="B5" s="554" t="s">
        <v>175</v>
      </c>
      <c r="C5" s="560" t="s">
        <v>197</v>
      </c>
      <c r="D5" s="561"/>
      <c r="E5" s="562"/>
      <c r="F5" s="560" t="s">
        <v>198</v>
      </c>
      <c r="G5" s="561"/>
      <c r="H5" s="561"/>
      <c r="I5" s="561"/>
      <c r="J5" s="561"/>
      <c r="K5" s="561"/>
      <c r="L5" s="561"/>
      <c r="M5" s="561"/>
      <c r="N5" s="561"/>
      <c r="O5" s="561"/>
      <c r="P5" s="561"/>
      <c r="Q5" s="561"/>
      <c r="R5" s="561"/>
      <c r="S5" s="562"/>
      <c r="T5" s="567" t="s">
        <v>0</v>
      </c>
      <c r="U5" s="28"/>
      <c r="V5" s="28"/>
      <c r="W5" s="28"/>
      <c r="X5" s="28"/>
    </row>
    <row r="6" spans="1:24" ht="18" customHeight="1">
      <c r="A6" s="558"/>
      <c r="B6" s="555"/>
      <c r="C6" s="551" t="s">
        <v>181</v>
      </c>
      <c r="D6" s="516" t="s">
        <v>83</v>
      </c>
      <c r="E6" s="552" t="s">
        <v>84</v>
      </c>
      <c r="F6" s="571" t="s">
        <v>200</v>
      </c>
      <c r="G6" s="572"/>
      <c r="H6" s="390" t="s">
        <v>199</v>
      </c>
      <c r="I6" s="390"/>
      <c r="J6" s="516" t="s">
        <v>267</v>
      </c>
      <c r="K6" s="516"/>
      <c r="L6" s="516" t="s">
        <v>186</v>
      </c>
      <c r="M6" s="516"/>
      <c r="N6" s="516" t="s">
        <v>187</v>
      </c>
      <c r="O6" s="516"/>
      <c r="P6" s="516" t="s">
        <v>188</v>
      </c>
      <c r="Q6" s="516"/>
      <c r="R6" s="434" t="s">
        <v>495</v>
      </c>
      <c r="S6" s="564" t="s">
        <v>196</v>
      </c>
      <c r="T6" s="568"/>
      <c r="U6" s="28"/>
      <c r="V6" s="28"/>
      <c r="W6" s="28"/>
      <c r="X6" s="28"/>
    </row>
    <row r="7" spans="1:24" ht="25.5" customHeight="1">
      <c r="A7" s="558"/>
      <c r="B7" s="555"/>
      <c r="C7" s="551"/>
      <c r="D7" s="516"/>
      <c r="E7" s="552"/>
      <c r="F7" s="571"/>
      <c r="G7" s="572"/>
      <c r="H7" s="390"/>
      <c r="I7" s="390"/>
      <c r="J7" s="516"/>
      <c r="K7" s="516"/>
      <c r="L7" s="516"/>
      <c r="M7" s="516"/>
      <c r="N7" s="516"/>
      <c r="O7" s="516"/>
      <c r="P7" s="516"/>
      <c r="Q7" s="516"/>
      <c r="R7" s="570"/>
      <c r="S7" s="565"/>
      <c r="T7" s="568"/>
      <c r="U7" s="28"/>
      <c r="V7" s="28"/>
      <c r="W7" s="28"/>
      <c r="X7" s="28"/>
    </row>
    <row r="8" spans="1:24" ht="58.5" thickBot="1">
      <c r="A8" s="559"/>
      <c r="B8" s="556"/>
      <c r="C8" s="551"/>
      <c r="D8" s="516"/>
      <c r="E8" s="552"/>
      <c r="F8" s="79" t="s">
        <v>182</v>
      </c>
      <c r="G8" s="1" t="s">
        <v>183</v>
      </c>
      <c r="H8" s="4" t="s">
        <v>189</v>
      </c>
      <c r="I8" s="4" t="s">
        <v>183</v>
      </c>
      <c r="J8" s="1" t="s">
        <v>190</v>
      </c>
      <c r="K8" s="4" t="s">
        <v>191</v>
      </c>
      <c r="L8" s="1" t="s">
        <v>184</v>
      </c>
      <c r="M8" s="4" t="s">
        <v>192</v>
      </c>
      <c r="N8" s="1" t="s">
        <v>185</v>
      </c>
      <c r="O8" s="4" t="s">
        <v>193</v>
      </c>
      <c r="P8" s="1" t="s">
        <v>194</v>
      </c>
      <c r="Q8" s="4" t="s">
        <v>195</v>
      </c>
      <c r="R8" s="435"/>
      <c r="S8" s="566"/>
      <c r="T8" s="569"/>
      <c r="U8" s="28"/>
      <c r="V8" s="28"/>
      <c r="W8" s="28"/>
      <c r="X8" s="28"/>
    </row>
    <row r="9" spans="1:24">
      <c r="A9" s="68">
        <v>1</v>
      </c>
      <c r="B9" s="76"/>
      <c r="C9" s="45"/>
      <c r="D9" s="16"/>
      <c r="E9" s="77"/>
      <c r="F9" s="80"/>
      <c r="G9" s="74"/>
      <c r="H9" s="74"/>
      <c r="I9" s="74"/>
      <c r="J9" s="18"/>
      <c r="K9" s="18"/>
      <c r="L9" s="18"/>
      <c r="M9" s="18"/>
      <c r="N9" s="18"/>
      <c r="O9" s="18"/>
      <c r="P9" s="18"/>
      <c r="Q9" s="18"/>
      <c r="R9" s="18"/>
      <c r="S9" s="81"/>
      <c r="T9" s="83"/>
      <c r="U9" s="28"/>
      <c r="V9" s="28"/>
      <c r="W9" s="28"/>
      <c r="X9" s="28"/>
    </row>
    <row r="10" spans="1:24">
      <c r="A10" s="3">
        <v>2</v>
      </c>
      <c r="B10" s="58"/>
      <c r="C10" s="45"/>
      <c r="D10" s="16"/>
      <c r="E10" s="77"/>
      <c r="F10" s="45"/>
      <c r="G10" s="16"/>
      <c r="H10" s="18"/>
      <c r="I10" s="18"/>
      <c r="J10" s="18"/>
      <c r="K10" s="18"/>
      <c r="L10" s="18"/>
      <c r="M10" s="18"/>
      <c r="N10" s="18"/>
      <c r="O10" s="18"/>
      <c r="P10" s="18"/>
      <c r="Q10" s="18"/>
      <c r="R10" s="18"/>
      <c r="S10" s="81"/>
      <c r="T10" s="83"/>
      <c r="U10" s="28"/>
      <c r="V10" s="28"/>
      <c r="W10" s="28"/>
      <c r="X10" s="28"/>
    </row>
    <row r="11" spans="1:24">
      <c r="A11" s="3">
        <v>3</v>
      </c>
      <c r="B11" s="58"/>
      <c r="C11" s="45"/>
      <c r="D11" s="16"/>
      <c r="E11" s="77"/>
      <c r="F11" s="45"/>
      <c r="G11" s="16"/>
      <c r="H11" s="18"/>
      <c r="I11" s="18"/>
      <c r="J11" s="18"/>
      <c r="K11" s="18"/>
      <c r="L11" s="18"/>
      <c r="M11" s="18"/>
      <c r="N11" s="18"/>
      <c r="O11" s="18"/>
      <c r="P11" s="18"/>
      <c r="Q11" s="18"/>
      <c r="R11" s="18"/>
      <c r="S11" s="81"/>
      <c r="T11" s="83"/>
      <c r="U11" s="28"/>
      <c r="V11" s="28"/>
      <c r="W11" s="28"/>
      <c r="X11" s="28"/>
    </row>
    <row r="12" spans="1:24">
      <c r="A12" s="3">
        <v>4</v>
      </c>
      <c r="B12" s="58"/>
      <c r="C12" s="45"/>
      <c r="D12" s="16"/>
      <c r="E12" s="77"/>
      <c r="F12" s="45"/>
      <c r="G12" s="16"/>
      <c r="H12" s="18"/>
      <c r="I12" s="18"/>
      <c r="J12" s="18"/>
      <c r="K12" s="18"/>
      <c r="L12" s="18"/>
      <c r="M12" s="18"/>
      <c r="N12" s="18"/>
      <c r="O12" s="18"/>
      <c r="P12" s="18"/>
      <c r="Q12" s="18"/>
      <c r="R12" s="18"/>
      <c r="S12" s="81"/>
      <c r="T12" s="83"/>
      <c r="U12" s="28"/>
      <c r="V12" s="28"/>
      <c r="W12" s="28"/>
      <c r="X12" s="28"/>
    </row>
    <row r="13" spans="1:24">
      <c r="A13" s="3">
        <v>5</v>
      </c>
      <c r="B13" s="58"/>
      <c r="C13" s="45"/>
      <c r="D13" s="16"/>
      <c r="E13" s="77"/>
      <c r="F13" s="45"/>
      <c r="G13" s="16"/>
      <c r="H13" s="18"/>
      <c r="I13" s="18"/>
      <c r="J13" s="18"/>
      <c r="K13" s="18"/>
      <c r="L13" s="18"/>
      <c r="M13" s="18"/>
      <c r="N13" s="18"/>
      <c r="O13" s="18"/>
      <c r="P13" s="18"/>
      <c r="Q13" s="18"/>
      <c r="R13" s="18"/>
      <c r="S13" s="81"/>
      <c r="T13" s="83"/>
      <c r="U13" s="28"/>
      <c r="V13" s="28"/>
      <c r="W13" s="28"/>
      <c r="X13" s="28"/>
    </row>
    <row r="14" spans="1:24">
      <c r="A14" s="3">
        <v>6</v>
      </c>
      <c r="B14" s="58"/>
      <c r="C14" s="45"/>
      <c r="D14" s="16"/>
      <c r="E14" s="77"/>
      <c r="F14" s="45"/>
      <c r="G14" s="16"/>
      <c r="H14" s="18"/>
      <c r="I14" s="18"/>
      <c r="J14" s="18"/>
      <c r="K14" s="18"/>
      <c r="L14" s="18"/>
      <c r="M14" s="18"/>
      <c r="N14" s="18"/>
      <c r="O14" s="18"/>
      <c r="P14" s="18"/>
      <c r="Q14" s="18"/>
      <c r="R14" s="18"/>
      <c r="S14" s="81"/>
      <c r="T14" s="83"/>
      <c r="U14" s="28"/>
      <c r="V14" s="28"/>
      <c r="W14" s="28"/>
      <c r="X14" s="28"/>
    </row>
    <row r="15" spans="1:24">
      <c r="A15" s="3">
        <v>7</v>
      </c>
      <c r="B15" s="58"/>
      <c r="C15" s="45"/>
      <c r="D15" s="16"/>
      <c r="E15" s="77"/>
      <c r="F15" s="45"/>
      <c r="G15" s="16"/>
      <c r="H15" s="18"/>
      <c r="I15" s="18"/>
      <c r="J15" s="18"/>
      <c r="K15" s="18"/>
      <c r="L15" s="18"/>
      <c r="M15" s="18"/>
      <c r="N15" s="18"/>
      <c r="O15" s="18"/>
      <c r="P15" s="18"/>
      <c r="Q15" s="18"/>
      <c r="R15" s="18"/>
      <c r="S15" s="81"/>
      <c r="T15" s="83"/>
      <c r="U15" s="28"/>
      <c r="V15" s="28"/>
      <c r="W15" s="28"/>
      <c r="X15" s="28"/>
    </row>
    <row r="16" spans="1:24">
      <c r="A16" s="3">
        <v>8</v>
      </c>
      <c r="B16" s="58"/>
      <c r="C16" s="45"/>
      <c r="D16" s="16"/>
      <c r="E16" s="77"/>
      <c r="F16" s="45"/>
      <c r="G16" s="16"/>
      <c r="H16" s="18"/>
      <c r="I16" s="18"/>
      <c r="J16" s="18"/>
      <c r="K16" s="18"/>
      <c r="L16" s="18"/>
      <c r="M16" s="18"/>
      <c r="N16" s="18"/>
      <c r="O16" s="18"/>
      <c r="P16" s="18"/>
      <c r="Q16" s="18"/>
      <c r="R16" s="18"/>
      <c r="S16" s="81"/>
      <c r="T16" s="83"/>
      <c r="U16" s="28"/>
      <c r="V16" s="28"/>
      <c r="W16" s="28"/>
      <c r="X16" s="28"/>
    </row>
    <row r="17" spans="1:24">
      <c r="A17" s="3">
        <v>9</v>
      </c>
      <c r="B17" s="58"/>
      <c r="C17" s="45"/>
      <c r="D17" s="16"/>
      <c r="E17" s="77"/>
      <c r="F17" s="45"/>
      <c r="G17" s="16"/>
      <c r="H17" s="18"/>
      <c r="I17" s="18"/>
      <c r="J17" s="18"/>
      <c r="K17" s="18"/>
      <c r="L17" s="18"/>
      <c r="M17" s="18"/>
      <c r="N17" s="18"/>
      <c r="O17" s="18"/>
      <c r="P17" s="18"/>
      <c r="Q17" s="18"/>
      <c r="R17" s="18"/>
      <c r="S17" s="81"/>
      <c r="T17" s="83"/>
      <c r="U17" s="28"/>
      <c r="V17" s="28"/>
      <c r="W17" s="28"/>
      <c r="X17" s="28"/>
    </row>
    <row r="18" spans="1:24">
      <c r="A18" s="3">
        <v>10</v>
      </c>
      <c r="B18" s="58"/>
      <c r="C18" s="45"/>
      <c r="D18" s="16"/>
      <c r="E18" s="77"/>
      <c r="F18" s="45"/>
      <c r="G18" s="16"/>
      <c r="H18" s="18"/>
      <c r="I18" s="18"/>
      <c r="J18" s="18"/>
      <c r="K18" s="18"/>
      <c r="L18" s="18"/>
      <c r="M18" s="18"/>
      <c r="N18" s="18"/>
      <c r="O18" s="18"/>
      <c r="P18" s="18"/>
      <c r="Q18" s="18"/>
      <c r="R18" s="18"/>
      <c r="S18" s="81"/>
      <c r="T18" s="83"/>
      <c r="U18" s="28"/>
      <c r="V18" s="28"/>
      <c r="W18" s="28"/>
      <c r="X18" s="28"/>
    </row>
    <row r="19" spans="1:24">
      <c r="A19" s="3">
        <v>11</v>
      </c>
      <c r="B19" s="58"/>
      <c r="C19" s="45"/>
      <c r="D19" s="16"/>
      <c r="E19" s="77"/>
      <c r="F19" s="45"/>
      <c r="G19" s="16"/>
      <c r="H19" s="18"/>
      <c r="I19" s="18"/>
      <c r="J19" s="18"/>
      <c r="K19" s="18"/>
      <c r="L19" s="18"/>
      <c r="M19" s="18"/>
      <c r="N19" s="18"/>
      <c r="O19" s="18"/>
      <c r="P19" s="18"/>
      <c r="Q19" s="18"/>
      <c r="R19" s="18"/>
      <c r="S19" s="81"/>
      <c r="T19" s="83"/>
      <c r="U19" s="28"/>
      <c r="V19" s="28"/>
      <c r="W19" s="28"/>
      <c r="X19" s="28"/>
    </row>
    <row r="20" spans="1:24">
      <c r="A20" s="3">
        <v>12</v>
      </c>
      <c r="B20" s="58"/>
      <c r="C20" s="45"/>
      <c r="D20" s="16"/>
      <c r="E20" s="77"/>
      <c r="F20" s="45"/>
      <c r="G20" s="16"/>
      <c r="H20" s="18"/>
      <c r="I20" s="18"/>
      <c r="J20" s="18"/>
      <c r="K20" s="18"/>
      <c r="L20" s="18"/>
      <c r="M20" s="18"/>
      <c r="N20" s="18"/>
      <c r="O20" s="18"/>
      <c r="P20" s="18"/>
      <c r="Q20" s="18"/>
      <c r="R20" s="18"/>
      <c r="S20" s="81"/>
      <c r="T20" s="83"/>
      <c r="U20" s="28"/>
      <c r="V20" s="28"/>
      <c r="W20" s="28"/>
      <c r="X20" s="28"/>
    </row>
    <row r="21" spans="1:24">
      <c r="A21" s="3">
        <v>13</v>
      </c>
      <c r="B21" s="58"/>
      <c r="C21" s="45"/>
      <c r="D21" s="16"/>
      <c r="E21" s="77"/>
      <c r="F21" s="45"/>
      <c r="G21" s="16"/>
      <c r="H21" s="18"/>
      <c r="I21" s="18"/>
      <c r="J21" s="18"/>
      <c r="K21" s="18"/>
      <c r="L21" s="18"/>
      <c r="M21" s="18"/>
      <c r="N21" s="18"/>
      <c r="O21" s="18"/>
      <c r="P21" s="18"/>
      <c r="Q21" s="18"/>
      <c r="R21" s="18"/>
      <c r="S21" s="81"/>
      <c r="T21" s="83"/>
      <c r="U21" s="28"/>
      <c r="V21" s="28"/>
      <c r="W21" s="28"/>
      <c r="X21" s="28"/>
    </row>
    <row r="22" spans="1:24">
      <c r="A22" s="3">
        <v>14</v>
      </c>
      <c r="B22" s="58"/>
      <c r="C22" s="45"/>
      <c r="D22" s="16"/>
      <c r="E22" s="77"/>
      <c r="F22" s="45"/>
      <c r="G22" s="16"/>
      <c r="H22" s="18"/>
      <c r="I22" s="18"/>
      <c r="J22" s="18"/>
      <c r="K22" s="18"/>
      <c r="L22" s="18"/>
      <c r="M22" s="18"/>
      <c r="N22" s="18"/>
      <c r="O22" s="18"/>
      <c r="P22" s="18"/>
      <c r="Q22" s="18"/>
      <c r="R22" s="18"/>
      <c r="S22" s="81"/>
      <c r="T22" s="83"/>
      <c r="U22" s="28"/>
      <c r="V22" s="28"/>
      <c r="W22" s="28"/>
      <c r="X22" s="28"/>
    </row>
    <row r="23" spans="1:24">
      <c r="A23" s="3">
        <v>15</v>
      </c>
      <c r="B23" s="58"/>
      <c r="C23" s="45"/>
      <c r="D23" s="16"/>
      <c r="E23" s="77"/>
      <c r="F23" s="45"/>
      <c r="G23" s="16"/>
      <c r="H23" s="18"/>
      <c r="I23" s="18"/>
      <c r="J23" s="18"/>
      <c r="K23" s="18"/>
      <c r="L23" s="18"/>
      <c r="M23" s="18"/>
      <c r="N23" s="18"/>
      <c r="O23" s="18"/>
      <c r="P23" s="18"/>
      <c r="Q23" s="18"/>
      <c r="R23" s="18"/>
      <c r="S23" s="81"/>
      <c r="T23" s="83"/>
      <c r="U23" s="28"/>
      <c r="V23" s="28"/>
      <c r="W23" s="28"/>
      <c r="X23" s="28"/>
    </row>
    <row r="24" spans="1:24">
      <c r="A24" s="3">
        <v>16</v>
      </c>
      <c r="B24" s="58"/>
      <c r="C24" s="45"/>
      <c r="D24" s="16"/>
      <c r="E24" s="77"/>
      <c r="F24" s="45"/>
      <c r="G24" s="16"/>
      <c r="H24" s="18"/>
      <c r="I24" s="18"/>
      <c r="J24" s="18"/>
      <c r="K24" s="18"/>
      <c r="L24" s="18"/>
      <c r="M24" s="18"/>
      <c r="N24" s="18"/>
      <c r="O24" s="18"/>
      <c r="P24" s="18"/>
      <c r="Q24" s="18"/>
      <c r="R24" s="18"/>
      <c r="S24" s="81"/>
      <c r="T24" s="83"/>
      <c r="U24" s="28"/>
      <c r="V24" s="28"/>
      <c r="W24" s="28"/>
      <c r="X24" s="28"/>
    </row>
    <row r="25" spans="1:24">
      <c r="A25" s="3">
        <v>17</v>
      </c>
      <c r="B25" s="58"/>
      <c r="C25" s="45"/>
      <c r="D25" s="16"/>
      <c r="E25" s="77"/>
      <c r="F25" s="45"/>
      <c r="G25" s="16"/>
      <c r="H25" s="18"/>
      <c r="I25" s="18"/>
      <c r="J25" s="18"/>
      <c r="K25" s="18"/>
      <c r="L25" s="18"/>
      <c r="M25" s="18"/>
      <c r="N25" s="18"/>
      <c r="O25" s="18"/>
      <c r="P25" s="18"/>
      <c r="Q25" s="18"/>
      <c r="R25" s="18"/>
      <c r="S25" s="81"/>
      <c r="T25" s="83"/>
      <c r="U25" s="28"/>
      <c r="V25" s="28"/>
      <c r="W25" s="28"/>
      <c r="X25" s="28"/>
    </row>
    <row r="26" spans="1:24">
      <c r="A26" s="3">
        <v>18</v>
      </c>
      <c r="B26" s="58"/>
      <c r="C26" s="45"/>
      <c r="D26" s="16"/>
      <c r="E26" s="77"/>
      <c r="F26" s="45"/>
      <c r="G26" s="16"/>
      <c r="H26" s="18"/>
      <c r="I26" s="18"/>
      <c r="J26" s="18"/>
      <c r="K26" s="18"/>
      <c r="L26" s="18"/>
      <c r="M26" s="18"/>
      <c r="N26" s="18"/>
      <c r="O26" s="18"/>
      <c r="P26" s="18"/>
      <c r="Q26" s="18"/>
      <c r="R26" s="18"/>
      <c r="S26" s="81"/>
      <c r="T26" s="83"/>
      <c r="U26" s="28"/>
      <c r="V26" s="28"/>
      <c r="W26" s="28"/>
      <c r="X26" s="28"/>
    </row>
    <row r="27" spans="1:24">
      <c r="A27" s="3">
        <v>19</v>
      </c>
      <c r="B27" s="58"/>
      <c r="C27" s="45"/>
      <c r="D27" s="16"/>
      <c r="E27" s="77"/>
      <c r="F27" s="45"/>
      <c r="G27" s="16"/>
      <c r="H27" s="18"/>
      <c r="I27" s="18"/>
      <c r="J27" s="18"/>
      <c r="K27" s="18"/>
      <c r="L27" s="18"/>
      <c r="M27" s="18"/>
      <c r="N27" s="18"/>
      <c r="O27" s="18"/>
      <c r="P27" s="18"/>
      <c r="Q27" s="18"/>
      <c r="R27" s="18"/>
      <c r="S27" s="81"/>
      <c r="T27" s="83"/>
      <c r="U27" s="28"/>
      <c r="V27" s="28"/>
      <c r="W27" s="28"/>
      <c r="X27" s="28"/>
    </row>
    <row r="28" spans="1:24">
      <c r="A28" s="3">
        <v>20</v>
      </c>
      <c r="B28" s="58"/>
      <c r="C28" s="45"/>
      <c r="D28" s="16"/>
      <c r="E28" s="77"/>
      <c r="F28" s="45"/>
      <c r="G28" s="16"/>
      <c r="H28" s="18"/>
      <c r="I28" s="18"/>
      <c r="J28" s="18"/>
      <c r="K28" s="18"/>
      <c r="L28" s="18"/>
      <c r="M28" s="18"/>
      <c r="N28" s="18"/>
      <c r="O28" s="18"/>
      <c r="P28" s="18"/>
      <c r="Q28" s="18"/>
      <c r="R28" s="18"/>
      <c r="S28" s="81"/>
      <c r="T28" s="83"/>
      <c r="U28" s="28"/>
      <c r="V28" s="28"/>
      <c r="W28" s="28"/>
      <c r="X28" s="28"/>
    </row>
    <row r="29" spans="1:24">
      <c r="A29" s="3">
        <v>21</v>
      </c>
      <c r="B29" s="58"/>
      <c r="C29" s="45"/>
      <c r="D29" s="16"/>
      <c r="E29" s="77"/>
      <c r="F29" s="45"/>
      <c r="G29" s="16"/>
      <c r="H29" s="18"/>
      <c r="I29" s="18"/>
      <c r="J29" s="18"/>
      <c r="K29" s="18"/>
      <c r="L29" s="18"/>
      <c r="M29" s="18"/>
      <c r="N29" s="18"/>
      <c r="O29" s="18"/>
      <c r="P29" s="18"/>
      <c r="Q29" s="18"/>
      <c r="R29" s="18"/>
      <c r="S29" s="81"/>
      <c r="T29" s="83"/>
      <c r="U29" s="28"/>
      <c r="V29" s="28"/>
      <c r="W29" s="28"/>
      <c r="X29" s="28"/>
    </row>
    <row r="30" spans="1:24">
      <c r="A30" s="3">
        <v>22</v>
      </c>
      <c r="B30" s="58"/>
      <c r="C30" s="45"/>
      <c r="D30" s="16"/>
      <c r="E30" s="77"/>
      <c r="F30" s="45"/>
      <c r="G30" s="16"/>
      <c r="H30" s="18"/>
      <c r="I30" s="18"/>
      <c r="J30" s="18"/>
      <c r="K30" s="18"/>
      <c r="L30" s="18"/>
      <c r="M30" s="18"/>
      <c r="N30" s="18"/>
      <c r="O30" s="18"/>
      <c r="P30" s="18"/>
      <c r="Q30" s="18"/>
      <c r="R30" s="18"/>
      <c r="S30" s="81"/>
      <c r="T30" s="83"/>
      <c r="U30" s="28"/>
      <c r="V30" s="28"/>
      <c r="W30" s="28"/>
      <c r="X30" s="28"/>
    </row>
    <row r="31" spans="1:24">
      <c r="A31" s="3">
        <v>23</v>
      </c>
      <c r="B31" s="58"/>
      <c r="C31" s="45"/>
      <c r="D31" s="16"/>
      <c r="E31" s="77"/>
      <c r="F31" s="45"/>
      <c r="G31" s="16"/>
      <c r="H31" s="18"/>
      <c r="I31" s="18"/>
      <c r="J31" s="18"/>
      <c r="K31" s="18"/>
      <c r="L31" s="18"/>
      <c r="M31" s="18"/>
      <c r="N31" s="18"/>
      <c r="O31" s="18"/>
      <c r="P31" s="18"/>
      <c r="Q31" s="18"/>
      <c r="R31" s="18"/>
      <c r="S31" s="81"/>
      <c r="T31" s="83"/>
      <c r="U31" s="28"/>
      <c r="V31" s="28"/>
      <c r="W31" s="28"/>
      <c r="X31" s="28"/>
    </row>
    <row r="32" spans="1:24">
      <c r="A32" s="3">
        <v>24</v>
      </c>
      <c r="B32" s="58"/>
      <c r="C32" s="45"/>
      <c r="D32" s="16"/>
      <c r="E32" s="77"/>
      <c r="F32" s="45"/>
      <c r="G32" s="16"/>
      <c r="H32" s="18"/>
      <c r="I32" s="18"/>
      <c r="J32" s="18"/>
      <c r="K32" s="18"/>
      <c r="L32" s="18"/>
      <c r="M32" s="18"/>
      <c r="N32" s="18"/>
      <c r="O32" s="18"/>
      <c r="P32" s="18"/>
      <c r="Q32" s="18"/>
      <c r="R32" s="18"/>
      <c r="S32" s="81"/>
      <c r="T32" s="83"/>
      <c r="U32" s="28"/>
      <c r="V32" s="28"/>
      <c r="W32" s="28"/>
      <c r="X32" s="28"/>
    </row>
    <row r="33" spans="1:24">
      <c r="A33" s="3">
        <v>25</v>
      </c>
      <c r="B33" s="58"/>
      <c r="C33" s="45"/>
      <c r="D33" s="16"/>
      <c r="E33" s="77"/>
      <c r="F33" s="45"/>
      <c r="G33" s="16"/>
      <c r="H33" s="18"/>
      <c r="I33" s="18"/>
      <c r="J33" s="18"/>
      <c r="K33" s="18"/>
      <c r="L33" s="18"/>
      <c r="M33" s="18"/>
      <c r="N33" s="18"/>
      <c r="O33" s="18"/>
      <c r="P33" s="18"/>
      <c r="Q33" s="18"/>
      <c r="R33" s="18"/>
      <c r="S33" s="81"/>
      <c r="T33" s="83"/>
      <c r="U33" s="28"/>
      <c r="V33" s="28"/>
      <c r="W33" s="28"/>
      <c r="X33" s="28"/>
    </row>
    <row r="34" spans="1:24">
      <c r="A34" s="3">
        <v>26</v>
      </c>
      <c r="B34" s="58"/>
      <c r="C34" s="45"/>
      <c r="D34" s="16"/>
      <c r="E34" s="77"/>
      <c r="F34" s="45"/>
      <c r="G34" s="16"/>
      <c r="H34" s="18"/>
      <c r="I34" s="18"/>
      <c r="J34" s="18"/>
      <c r="K34" s="18"/>
      <c r="L34" s="18"/>
      <c r="M34" s="18"/>
      <c r="N34" s="18"/>
      <c r="O34" s="18"/>
      <c r="P34" s="18"/>
      <c r="Q34" s="18"/>
      <c r="R34" s="18"/>
      <c r="S34" s="81"/>
      <c r="T34" s="83"/>
      <c r="U34" s="28"/>
      <c r="V34" s="28"/>
      <c r="W34" s="28"/>
      <c r="X34" s="28"/>
    </row>
    <row r="35" spans="1:24">
      <c r="A35" s="3">
        <v>27</v>
      </c>
      <c r="B35" s="58"/>
      <c r="C35" s="45"/>
      <c r="D35" s="16"/>
      <c r="E35" s="77"/>
      <c r="F35" s="45"/>
      <c r="G35" s="16"/>
      <c r="H35" s="18"/>
      <c r="I35" s="18"/>
      <c r="J35" s="18"/>
      <c r="K35" s="18"/>
      <c r="L35" s="18"/>
      <c r="M35" s="18"/>
      <c r="N35" s="18"/>
      <c r="O35" s="18"/>
      <c r="P35" s="18"/>
      <c r="Q35" s="18"/>
      <c r="R35" s="18"/>
      <c r="S35" s="81"/>
      <c r="T35" s="83"/>
      <c r="U35" s="28"/>
      <c r="V35" s="28"/>
      <c r="W35" s="28"/>
      <c r="X35" s="28"/>
    </row>
    <row r="36" spans="1:24">
      <c r="A36" s="3">
        <v>28</v>
      </c>
      <c r="B36" s="58"/>
      <c r="C36" s="45"/>
      <c r="D36" s="16"/>
      <c r="E36" s="77"/>
      <c r="F36" s="45"/>
      <c r="G36" s="16"/>
      <c r="H36" s="18"/>
      <c r="I36" s="18"/>
      <c r="J36" s="18"/>
      <c r="K36" s="18"/>
      <c r="L36" s="18"/>
      <c r="M36" s="18"/>
      <c r="N36" s="18"/>
      <c r="O36" s="18"/>
      <c r="P36" s="18"/>
      <c r="Q36" s="18"/>
      <c r="R36" s="18"/>
      <c r="S36" s="81"/>
      <c r="T36" s="83"/>
      <c r="U36" s="28"/>
      <c r="V36" s="28"/>
      <c r="W36" s="28"/>
      <c r="X36" s="28"/>
    </row>
    <row r="37" spans="1:24">
      <c r="A37" s="3">
        <v>29</v>
      </c>
      <c r="B37" s="58"/>
      <c r="C37" s="45"/>
      <c r="D37" s="16"/>
      <c r="E37" s="77"/>
      <c r="F37" s="45"/>
      <c r="G37" s="16"/>
      <c r="H37" s="18"/>
      <c r="I37" s="18"/>
      <c r="J37" s="18"/>
      <c r="K37" s="18"/>
      <c r="L37" s="18"/>
      <c r="M37" s="18"/>
      <c r="N37" s="18"/>
      <c r="O37" s="18"/>
      <c r="P37" s="18"/>
      <c r="Q37" s="18"/>
      <c r="R37" s="18"/>
      <c r="S37" s="81"/>
      <c r="T37" s="83"/>
      <c r="U37" s="28"/>
      <c r="V37" s="28"/>
      <c r="W37" s="28"/>
      <c r="X37" s="28"/>
    </row>
    <row r="38" spans="1:24">
      <c r="A38" s="3">
        <v>30</v>
      </c>
      <c r="B38" s="58"/>
      <c r="C38" s="45"/>
      <c r="D38" s="16"/>
      <c r="E38" s="77"/>
      <c r="F38" s="45"/>
      <c r="G38" s="16"/>
      <c r="H38" s="18"/>
      <c r="I38" s="18"/>
      <c r="J38" s="18"/>
      <c r="K38" s="18"/>
      <c r="L38" s="18"/>
      <c r="M38" s="18"/>
      <c r="N38" s="18"/>
      <c r="O38" s="18"/>
      <c r="P38" s="18"/>
      <c r="Q38" s="18"/>
      <c r="R38" s="18"/>
      <c r="S38" s="81"/>
      <c r="T38" s="83"/>
      <c r="U38" s="28"/>
      <c r="V38" s="28"/>
      <c r="W38" s="28"/>
      <c r="X38" s="28"/>
    </row>
    <row r="39" spans="1:24">
      <c r="A39" s="3">
        <v>31</v>
      </c>
      <c r="B39" s="58"/>
      <c r="C39" s="45"/>
      <c r="D39" s="16"/>
      <c r="E39" s="77"/>
      <c r="F39" s="45"/>
      <c r="G39" s="16"/>
      <c r="H39" s="18"/>
      <c r="I39" s="18"/>
      <c r="J39" s="18"/>
      <c r="K39" s="18"/>
      <c r="L39" s="18"/>
      <c r="M39" s="18"/>
      <c r="N39" s="18"/>
      <c r="O39" s="18"/>
      <c r="P39" s="18"/>
      <c r="Q39" s="18"/>
      <c r="R39" s="18"/>
      <c r="S39" s="81"/>
      <c r="T39" s="83"/>
      <c r="U39" s="28"/>
      <c r="V39" s="28"/>
      <c r="W39" s="28"/>
      <c r="X39" s="28"/>
    </row>
    <row r="40" spans="1:24">
      <c r="A40" s="3">
        <v>32</v>
      </c>
      <c r="B40" s="58"/>
      <c r="C40" s="45"/>
      <c r="D40" s="16"/>
      <c r="E40" s="77"/>
      <c r="F40" s="45"/>
      <c r="G40" s="16"/>
      <c r="H40" s="18"/>
      <c r="I40" s="18"/>
      <c r="J40" s="18"/>
      <c r="K40" s="18"/>
      <c r="L40" s="18"/>
      <c r="M40" s="18"/>
      <c r="N40" s="18"/>
      <c r="O40" s="18"/>
      <c r="P40" s="18"/>
      <c r="Q40" s="18"/>
      <c r="R40" s="18"/>
      <c r="S40" s="81"/>
      <c r="T40" s="83"/>
      <c r="U40" s="28"/>
      <c r="V40" s="28"/>
      <c r="W40" s="28"/>
      <c r="X40" s="28"/>
    </row>
    <row r="41" spans="1:24">
      <c r="A41" s="3">
        <v>33</v>
      </c>
      <c r="B41" s="58"/>
      <c r="C41" s="45"/>
      <c r="D41" s="16"/>
      <c r="E41" s="77"/>
      <c r="F41" s="45"/>
      <c r="G41" s="16"/>
      <c r="H41" s="18"/>
      <c r="I41" s="18"/>
      <c r="J41" s="18"/>
      <c r="K41" s="18"/>
      <c r="L41" s="18"/>
      <c r="M41" s="18"/>
      <c r="N41" s="18"/>
      <c r="O41" s="18"/>
      <c r="P41" s="18"/>
      <c r="Q41" s="18"/>
      <c r="R41" s="18"/>
      <c r="S41" s="81"/>
      <c r="T41" s="83"/>
      <c r="U41" s="28"/>
      <c r="V41" s="28"/>
      <c r="W41" s="28"/>
      <c r="X41" s="28"/>
    </row>
    <row r="42" spans="1:24">
      <c r="A42" s="3">
        <v>34</v>
      </c>
      <c r="B42" s="58"/>
      <c r="C42" s="45"/>
      <c r="D42" s="16"/>
      <c r="E42" s="77"/>
      <c r="F42" s="45"/>
      <c r="G42" s="16"/>
      <c r="H42" s="18"/>
      <c r="I42" s="18"/>
      <c r="J42" s="18"/>
      <c r="K42" s="18"/>
      <c r="L42" s="18"/>
      <c r="M42" s="18"/>
      <c r="N42" s="18"/>
      <c r="O42" s="18"/>
      <c r="P42" s="18"/>
      <c r="Q42" s="18"/>
      <c r="R42" s="18"/>
      <c r="S42" s="81"/>
      <c r="T42" s="83"/>
      <c r="U42" s="28"/>
      <c r="V42" s="28"/>
      <c r="W42" s="28"/>
      <c r="X42" s="28"/>
    </row>
    <row r="43" spans="1:24">
      <c r="A43" s="3">
        <v>35</v>
      </c>
      <c r="B43" s="58"/>
      <c r="C43" s="45"/>
      <c r="D43" s="16"/>
      <c r="E43" s="77"/>
      <c r="F43" s="45"/>
      <c r="G43" s="16"/>
      <c r="H43" s="18"/>
      <c r="I43" s="18"/>
      <c r="J43" s="18"/>
      <c r="K43" s="18"/>
      <c r="L43" s="18"/>
      <c r="M43" s="18"/>
      <c r="N43" s="18"/>
      <c r="O43" s="18"/>
      <c r="P43" s="18"/>
      <c r="Q43" s="18"/>
      <c r="R43" s="18"/>
      <c r="S43" s="81"/>
      <c r="T43" s="83"/>
      <c r="U43" s="28"/>
      <c r="V43" s="28"/>
      <c r="W43" s="28"/>
      <c r="X43" s="28"/>
    </row>
    <row r="44" spans="1:24">
      <c r="A44" s="3">
        <v>36</v>
      </c>
      <c r="B44" s="58"/>
      <c r="C44" s="45"/>
      <c r="D44" s="16"/>
      <c r="E44" s="77"/>
      <c r="F44" s="45"/>
      <c r="G44" s="16"/>
      <c r="H44" s="18"/>
      <c r="I44" s="18"/>
      <c r="J44" s="18"/>
      <c r="K44" s="18"/>
      <c r="L44" s="18"/>
      <c r="M44" s="18"/>
      <c r="N44" s="18"/>
      <c r="O44" s="18"/>
      <c r="P44" s="18"/>
      <c r="Q44" s="18"/>
      <c r="R44" s="18"/>
      <c r="S44" s="81"/>
      <c r="T44" s="83"/>
      <c r="U44" s="28"/>
      <c r="V44" s="28"/>
      <c r="W44" s="28"/>
      <c r="X44" s="28"/>
    </row>
    <row r="45" spans="1:24">
      <c r="A45" s="3">
        <v>37</v>
      </c>
      <c r="B45" s="58"/>
      <c r="C45" s="45"/>
      <c r="D45" s="16"/>
      <c r="E45" s="77"/>
      <c r="F45" s="45"/>
      <c r="G45" s="16"/>
      <c r="H45" s="18"/>
      <c r="I45" s="18"/>
      <c r="J45" s="18"/>
      <c r="K45" s="18"/>
      <c r="L45" s="18"/>
      <c r="M45" s="18"/>
      <c r="N45" s="18"/>
      <c r="O45" s="18"/>
      <c r="P45" s="18"/>
      <c r="Q45" s="18"/>
      <c r="R45" s="18"/>
      <c r="S45" s="81"/>
      <c r="T45" s="83"/>
      <c r="U45" s="28"/>
      <c r="V45" s="28"/>
      <c r="W45" s="28"/>
      <c r="X45" s="28"/>
    </row>
    <row r="46" spans="1:24">
      <c r="A46" s="3">
        <v>38</v>
      </c>
      <c r="B46" s="58"/>
      <c r="C46" s="45"/>
      <c r="D46" s="16"/>
      <c r="E46" s="77"/>
      <c r="F46" s="45"/>
      <c r="G46" s="16"/>
      <c r="H46" s="18"/>
      <c r="I46" s="18"/>
      <c r="J46" s="18"/>
      <c r="K46" s="18"/>
      <c r="L46" s="18"/>
      <c r="M46" s="18"/>
      <c r="N46" s="18"/>
      <c r="O46" s="18"/>
      <c r="P46" s="18"/>
      <c r="Q46" s="18"/>
      <c r="R46" s="18"/>
      <c r="S46" s="81"/>
      <c r="T46" s="83"/>
      <c r="U46" s="28"/>
      <c r="V46" s="28"/>
      <c r="W46" s="28"/>
      <c r="X46" s="28"/>
    </row>
    <row r="47" spans="1:24">
      <c r="A47" s="3">
        <v>39</v>
      </c>
      <c r="B47" s="58"/>
      <c r="C47" s="45"/>
      <c r="D47" s="16"/>
      <c r="E47" s="77"/>
      <c r="F47" s="45"/>
      <c r="G47" s="16"/>
      <c r="H47" s="18"/>
      <c r="I47" s="18"/>
      <c r="J47" s="18"/>
      <c r="K47" s="18"/>
      <c r="L47" s="18"/>
      <c r="M47" s="18"/>
      <c r="N47" s="18"/>
      <c r="O47" s="18"/>
      <c r="P47" s="18"/>
      <c r="Q47" s="18"/>
      <c r="R47" s="18"/>
      <c r="S47" s="81"/>
      <c r="T47" s="83"/>
      <c r="U47" s="28"/>
      <c r="V47" s="28"/>
      <c r="W47" s="28"/>
      <c r="X47" s="28"/>
    </row>
    <row r="48" spans="1:24">
      <c r="A48" s="3">
        <v>40</v>
      </c>
      <c r="B48" s="58"/>
      <c r="C48" s="45"/>
      <c r="D48" s="16"/>
      <c r="E48" s="77"/>
      <c r="F48" s="45"/>
      <c r="G48" s="16"/>
      <c r="H48" s="18"/>
      <c r="I48" s="18"/>
      <c r="J48" s="18"/>
      <c r="K48" s="18"/>
      <c r="L48" s="18"/>
      <c r="M48" s="18"/>
      <c r="N48" s="18"/>
      <c r="O48" s="18"/>
      <c r="P48" s="18"/>
      <c r="Q48" s="18"/>
      <c r="R48" s="18"/>
      <c r="S48" s="81"/>
      <c r="T48" s="83"/>
      <c r="U48" s="28"/>
      <c r="V48" s="28"/>
      <c r="W48" s="28"/>
      <c r="X48" s="28"/>
    </row>
    <row r="49" spans="1:24">
      <c r="A49" s="3">
        <v>41</v>
      </c>
      <c r="B49" s="58"/>
      <c r="C49" s="45"/>
      <c r="D49" s="16"/>
      <c r="E49" s="77"/>
      <c r="F49" s="45"/>
      <c r="G49" s="16"/>
      <c r="H49" s="18"/>
      <c r="I49" s="18"/>
      <c r="J49" s="18"/>
      <c r="K49" s="18"/>
      <c r="L49" s="18"/>
      <c r="M49" s="18"/>
      <c r="N49" s="18"/>
      <c r="O49" s="18"/>
      <c r="P49" s="18"/>
      <c r="Q49" s="18"/>
      <c r="R49" s="18"/>
      <c r="S49" s="81"/>
      <c r="T49" s="83"/>
      <c r="U49" s="28"/>
      <c r="V49" s="28"/>
      <c r="W49" s="28"/>
      <c r="X49" s="28"/>
    </row>
    <row r="50" spans="1:24">
      <c r="A50" s="3">
        <v>42</v>
      </c>
      <c r="B50" s="58"/>
      <c r="C50" s="45"/>
      <c r="D50" s="16"/>
      <c r="E50" s="77"/>
      <c r="F50" s="45"/>
      <c r="G50" s="16"/>
      <c r="H50" s="18"/>
      <c r="I50" s="18"/>
      <c r="J50" s="18"/>
      <c r="K50" s="18"/>
      <c r="L50" s="18"/>
      <c r="M50" s="18"/>
      <c r="N50" s="18"/>
      <c r="O50" s="18"/>
      <c r="P50" s="18"/>
      <c r="Q50" s="18"/>
      <c r="R50" s="18"/>
      <c r="S50" s="81"/>
      <c r="T50" s="83"/>
      <c r="U50" s="28"/>
      <c r="V50" s="28"/>
      <c r="W50" s="28"/>
      <c r="X50" s="28"/>
    </row>
    <row r="51" spans="1:24">
      <c r="A51" s="3">
        <v>43</v>
      </c>
      <c r="B51" s="58"/>
      <c r="C51" s="45"/>
      <c r="D51" s="16"/>
      <c r="E51" s="77"/>
      <c r="F51" s="45"/>
      <c r="G51" s="16"/>
      <c r="H51" s="18"/>
      <c r="I51" s="18"/>
      <c r="J51" s="18"/>
      <c r="K51" s="18"/>
      <c r="L51" s="18"/>
      <c r="M51" s="18"/>
      <c r="N51" s="18"/>
      <c r="O51" s="18"/>
      <c r="P51" s="18"/>
      <c r="Q51" s="18"/>
      <c r="R51" s="18"/>
      <c r="S51" s="81"/>
      <c r="T51" s="83"/>
      <c r="U51" s="28"/>
      <c r="V51" s="28"/>
      <c r="W51" s="28"/>
      <c r="X51" s="28"/>
    </row>
    <row r="52" spans="1:24">
      <c r="A52" s="3">
        <v>44</v>
      </c>
      <c r="B52" s="58"/>
      <c r="C52" s="45"/>
      <c r="D52" s="16"/>
      <c r="E52" s="77"/>
      <c r="F52" s="45"/>
      <c r="G52" s="16"/>
      <c r="H52" s="18"/>
      <c r="I52" s="18"/>
      <c r="J52" s="18"/>
      <c r="K52" s="18"/>
      <c r="L52" s="18"/>
      <c r="M52" s="18"/>
      <c r="N52" s="18"/>
      <c r="O52" s="18"/>
      <c r="P52" s="18"/>
      <c r="Q52" s="18"/>
      <c r="R52" s="18"/>
      <c r="S52" s="81"/>
      <c r="T52" s="83"/>
      <c r="U52" s="28"/>
      <c r="V52" s="28"/>
      <c r="W52" s="28"/>
      <c r="X52" s="28"/>
    </row>
    <row r="53" spans="1:24">
      <c r="A53" s="3">
        <v>45</v>
      </c>
      <c r="B53" s="58"/>
      <c r="C53" s="45"/>
      <c r="D53" s="16"/>
      <c r="E53" s="77"/>
      <c r="F53" s="45"/>
      <c r="G53" s="16"/>
      <c r="H53" s="18"/>
      <c r="I53" s="18"/>
      <c r="J53" s="18"/>
      <c r="K53" s="18"/>
      <c r="L53" s="18"/>
      <c r="M53" s="18"/>
      <c r="N53" s="18"/>
      <c r="O53" s="18"/>
      <c r="P53" s="18"/>
      <c r="Q53" s="18"/>
      <c r="R53" s="18"/>
      <c r="S53" s="81"/>
      <c r="T53" s="83"/>
      <c r="U53" s="28"/>
      <c r="V53" s="28"/>
      <c r="W53" s="28"/>
      <c r="X53" s="28"/>
    </row>
    <row r="54" spans="1:24">
      <c r="A54" s="3">
        <v>46</v>
      </c>
      <c r="B54" s="58"/>
      <c r="C54" s="45"/>
      <c r="D54" s="16"/>
      <c r="E54" s="77"/>
      <c r="F54" s="45"/>
      <c r="G54" s="16"/>
      <c r="H54" s="18"/>
      <c r="I54" s="18"/>
      <c r="J54" s="18"/>
      <c r="K54" s="18"/>
      <c r="L54" s="18"/>
      <c r="M54" s="18"/>
      <c r="N54" s="18"/>
      <c r="O54" s="18"/>
      <c r="P54" s="18"/>
      <c r="Q54" s="18"/>
      <c r="R54" s="18"/>
      <c r="S54" s="81"/>
      <c r="T54" s="83"/>
      <c r="U54" s="28"/>
      <c r="V54" s="28"/>
      <c r="W54" s="28"/>
      <c r="X54" s="28"/>
    </row>
    <row r="55" spans="1:24">
      <c r="A55" s="3">
        <v>47</v>
      </c>
      <c r="B55" s="58"/>
      <c r="C55" s="45"/>
      <c r="D55" s="16"/>
      <c r="E55" s="77"/>
      <c r="F55" s="45"/>
      <c r="G55" s="16"/>
      <c r="H55" s="18"/>
      <c r="I55" s="18"/>
      <c r="J55" s="18"/>
      <c r="K55" s="18"/>
      <c r="L55" s="18"/>
      <c r="M55" s="18"/>
      <c r="N55" s="18"/>
      <c r="O55" s="18"/>
      <c r="P55" s="18"/>
      <c r="Q55" s="18"/>
      <c r="R55" s="18"/>
      <c r="S55" s="81"/>
      <c r="T55" s="83"/>
      <c r="U55" s="28"/>
      <c r="V55" s="28"/>
      <c r="W55" s="28"/>
      <c r="X55" s="28"/>
    </row>
    <row r="56" spans="1:24">
      <c r="A56" s="3">
        <v>48</v>
      </c>
      <c r="B56" s="58"/>
      <c r="C56" s="45"/>
      <c r="D56" s="16"/>
      <c r="E56" s="77"/>
      <c r="F56" s="45"/>
      <c r="G56" s="16"/>
      <c r="H56" s="18"/>
      <c r="I56" s="18"/>
      <c r="J56" s="18"/>
      <c r="K56" s="18"/>
      <c r="L56" s="18"/>
      <c r="M56" s="18"/>
      <c r="N56" s="18"/>
      <c r="O56" s="18"/>
      <c r="P56" s="18"/>
      <c r="Q56" s="18"/>
      <c r="R56" s="18"/>
      <c r="S56" s="81"/>
      <c r="T56" s="83"/>
      <c r="U56" s="28"/>
      <c r="V56" s="28"/>
      <c r="W56" s="28"/>
      <c r="X56" s="28"/>
    </row>
    <row r="57" spans="1:24">
      <c r="A57" s="3">
        <v>49</v>
      </c>
      <c r="B57" s="58"/>
      <c r="C57" s="45"/>
      <c r="D57" s="16"/>
      <c r="E57" s="77"/>
      <c r="F57" s="45"/>
      <c r="G57" s="16"/>
      <c r="H57" s="18"/>
      <c r="I57" s="18"/>
      <c r="J57" s="18"/>
      <c r="K57" s="18"/>
      <c r="L57" s="18"/>
      <c r="M57" s="18"/>
      <c r="N57" s="18"/>
      <c r="O57" s="18"/>
      <c r="P57" s="18"/>
      <c r="Q57" s="18"/>
      <c r="R57" s="18"/>
      <c r="S57" s="81"/>
      <c r="T57" s="83"/>
      <c r="U57" s="28"/>
      <c r="V57" s="28"/>
      <c r="W57" s="28"/>
      <c r="X57" s="28"/>
    </row>
    <row r="58" spans="1:24" ht="15" thickBot="1">
      <c r="A58" s="3">
        <v>50</v>
      </c>
      <c r="B58" s="58"/>
      <c r="C58" s="47"/>
      <c r="D58" s="48"/>
      <c r="E58" s="78"/>
      <c r="F58" s="47"/>
      <c r="G58" s="48"/>
      <c r="H58" s="61"/>
      <c r="I58" s="61"/>
      <c r="J58" s="61"/>
      <c r="K58" s="61"/>
      <c r="L58" s="61"/>
      <c r="M58" s="61"/>
      <c r="N58" s="61"/>
      <c r="O58" s="61"/>
      <c r="P58" s="61"/>
      <c r="Q58" s="61"/>
      <c r="R58" s="61"/>
      <c r="S58" s="82"/>
      <c r="T58" s="84"/>
      <c r="U58" s="28"/>
      <c r="V58" s="28"/>
      <c r="W58" s="28"/>
      <c r="X58" s="28"/>
    </row>
    <row r="59" spans="1:24">
      <c r="A59" s="28"/>
      <c r="B59" s="28"/>
      <c r="C59" s="28"/>
      <c r="D59" s="28"/>
      <c r="E59" s="28"/>
      <c r="F59" s="28"/>
      <c r="G59" s="28"/>
      <c r="H59" s="28"/>
      <c r="I59" s="28"/>
      <c r="J59" s="28"/>
      <c r="K59" s="28"/>
      <c r="L59" s="28"/>
      <c r="M59" s="28"/>
      <c r="N59" s="28"/>
      <c r="O59" s="28"/>
      <c r="P59" s="28"/>
      <c r="Q59" s="28"/>
      <c r="R59" s="28"/>
      <c r="S59" s="28"/>
      <c r="T59" s="28"/>
      <c r="U59" s="28"/>
      <c r="V59" s="28"/>
      <c r="W59" s="28"/>
      <c r="X59" s="28"/>
    </row>
    <row r="60" spans="1:24">
      <c r="A60" s="28"/>
      <c r="B60" s="28"/>
      <c r="C60" s="28"/>
      <c r="D60" s="28"/>
      <c r="E60" s="28"/>
      <c r="F60" s="28"/>
      <c r="G60" s="28"/>
      <c r="H60" s="28"/>
      <c r="I60" s="28"/>
      <c r="J60" s="28"/>
      <c r="K60" s="28"/>
      <c r="L60" s="28"/>
      <c r="M60" s="28"/>
      <c r="N60" s="28"/>
      <c r="O60" s="28"/>
      <c r="P60" s="28"/>
      <c r="Q60" s="28"/>
      <c r="R60" s="28"/>
      <c r="S60" s="28"/>
      <c r="T60" s="28"/>
      <c r="U60" s="28"/>
      <c r="V60" s="28"/>
      <c r="W60" s="28"/>
      <c r="X60" s="28"/>
    </row>
    <row r="61" spans="1:24">
      <c r="A61" s="28"/>
      <c r="B61" s="28"/>
      <c r="C61" s="28"/>
      <c r="D61" s="28"/>
      <c r="E61" s="28"/>
      <c r="F61" s="28"/>
      <c r="G61" s="28"/>
      <c r="H61" s="28"/>
      <c r="I61" s="28"/>
      <c r="J61" s="28"/>
      <c r="K61" s="28"/>
      <c r="L61" s="28"/>
      <c r="M61" s="28"/>
      <c r="N61" s="28"/>
      <c r="O61" s="28"/>
      <c r="P61" s="28"/>
      <c r="Q61" s="28"/>
      <c r="R61" s="28"/>
      <c r="S61" s="28"/>
      <c r="T61" s="28"/>
      <c r="U61" s="28"/>
      <c r="V61" s="28"/>
      <c r="W61" s="28"/>
      <c r="X61" s="28"/>
    </row>
    <row r="62" spans="1:24">
      <c r="A62" s="28"/>
      <c r="B62" s="28"/>
      <c r="C62" s="28"/>
      <c r="D62" s="28"/>
      <c r="E62" s="28"/>
      <c r="F62" s="28"/>
      <c r="G62" s="28"/>
      <c r="H62" s="28"/>
      <c r="I62" s="28"/>
      <c r="J62" s="28"/>
      <c r="K62" s="28"/>
      <c r="L62" s="28"/>
      <c r="M62" s="28"/>
      <c r="N62" s="28"/>
      <c r="O62" s="28"/>
      <c r="P62" s="28"/>
      <c r="Q62" s="28"/>
      <c r="R62" s="28"/>
      <c r="S62" s="28"/>
      <c r="T62" s="28"/>
      <c r="U62" s="28"/>
      <c r="V62" s="28"/>
      <c r="W62" s="28"/>
      <c r="X62" s="28"/>
    </row>
    <row r="63" spans="1:24">
      <c r="A63" s="28"/>
      <c r="B63" s="28"/>
      <c r="C63" s="28"/>
      <c r="D63" s="28"/>
      <c r="E63" s="28"/>
      <c r="F63" s="28"/>
      <c r="G63" s="28"/>
      <c r="H63" s="28"/>
      <c r="I63" s="28"/>
      <c r="J63" s="28"/>
      <c r="K63" s="28"/>
      <c r="L63" s="28"/>
      <c r="M63" s="28"/>
      <c r="N63" s="28"/>
      <c r="O63" s="28"/>
      <c r="P63" s="28"/>
      <c r="Q63" s="28"/>
      <c r="R63" s="28"/>
      <c r="S63" s="28"/>
      <c r="T63" s="28"/>
      <c r="U63" s="28"/>
      <c r="V63" s="28"/>
      <c r="W63" s="28"/>
      <c r="X63" s="28"/>
    </row>
    <row r="64" spans="1:24">
      <c r="A64" s="28"/>
      <c r="B64" s="28"/>
      <c r="C64" s="28"/>
      <c r="D64" s="28"/>
      <c r="E64" s="28"/>
      <c r="F64" s="28"/>
      <c r="G64" s="28"/>
      <c r="H64" s="28"/>
      <c r="I64" s="28"/>
      <c r="J64" s="28"/>
      <c r="K64" s="28"/>
      <c r="L64" s="28"/>
      <c r="M64" s="28"/>
      <c r="N64" s="28"/>
      <c r="O64" s="28"/>
      <c r="P64" s="28"/>
      <c r="Q64" s="28"/>
      <c r="R64" s="28"/>
      <c r="S64" s="28"/>
      <c r="T64" s="28"/>
    </row>
  </sheetData>
  <mergeCells count="19">
    <mergeCell ref="S6:S8"/>
    <mergeCell ref="T5:T8"/>
    <mergeCell ref="N6:O7"/>
    <mergeCell ref="P6:Q7"/>
    <mergeCell ref="R6:R8"/>
    <mergeCell ref="F5:S5"/>
    <mergeCell ref="L6:M7"/>
    <mergeCell ref="F6:G7"/>
    <mergeCell ref="H6:I7"/>
    <mergeCell ref="J6:K7"/>
    <mergeCell ref="C6:C8"/>
    <mergeCell ref="D6:D8"/>
    <mergeCell ref="E6:E8"/>
    <mergeCell ref="A1:G1"/>
    <mergeCell ref="B5:B8"/>
    <mergeCell ref="A5:A8"/>
    <mergeCell ref="C5:E5"/>
    <mergeCell ref="A2:I2"/>
    <mergeCell ref="A3:I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1"/>
  <dimension ref="A1:S62"/>
  <sheetViews>
    <sheetView topLeftCell="C1" zoomScaleNormal="100" workbookViewId="0">
      <selection activeCell="P7" sqref="P7"/>
    </sheetView>
  </sheetViews>
  <sheetFormatPr baseColWidth="10" defaultRowHeight="14.5"/>
  <cols>
    <col min="1" max="1" width="5" customWidth="1"/>
    <col min="2" max="2" width="13.7265625" bestFit="1" customWidth="1"/>
    <col min="3" max="7" width="13.7265625" customWidth="1"/>
    <col min="8" max="8" width="11.1796875" customWidth="1"/>
    <col min="9" max="9" width="13.7265625" customWidth="1"/>
    <col min="10" max="10" width="11.1796875" customWidth="1"/>
    <col min="11" max="11" width="11.26953125" customWidth="1"/>
    <col min="12" max="12" width="13.7265625" customWidth="1"/>
  </cols>
  <sheetData>
    <row r="1" spans="1:19" ht="37" customHeight="1">
      <c r="A1" s="520" t="s">
        <v>333</v>
      </c>
      <c r="B1" s="520"/>
      <c r="C1" s="520"/>
      <c r="D1" s="520"/>
      <c r="E1" s="520"/>
      <c r="F1" s="520"/>
      <c r="G1" s="520"/>
      <c r="H1" s="520"/>
      <c r="I1" s="28"/>
      <c r="J1" s="28"/>
      <c r="K1" s="28"/>
      <c r="L1" s="28"/>
      <c r="M1" s="28"/>
      <c r="N1" s="28"/>
      <c r="O1" s="28"/>
      <c r="P1" s="28"/>
      <c r="Q1" s="28"/>
      <c r="R1" s="28"/>
      <c r="S1" s="28"/>
    </row>
    <row r="2" spans="1:19" ht="11.25" customHeight="1">
      <c r="A2" s="99"/>
      <c r="B2" s="99"/>
      <c r="C2" s="98"/>
      <c r="D2" s="98"/>
      <c r="E2" s="98"/>
      <c r="F2" s="98"/>
      <c r="G2" s="98"/>
      <c r="H2" s="28"/>
      <c r="I2" s="28"/>
      <c r="J2" s="28"/>
      <c r="K2" s="28"/>
      <c r="L2" s="28"/>
      <c r="M2" s="28"/>
      <c r="N2" s="28"/>
      <c r="O2" s="28"/>
      <c r="P2" s="28"/>
      <c r="Q2" s="28"/>
      <c r="R2" s="28"/>
      <c r="S2" s="28"/>
    </row>
    <row r="3" spans="1:19" ht="71.150000000000006" customHeight="1">
      <c r="A3" s="573" t="s">
        <v>496</v>
      </c>
      <c r="B3" s="573"/>
      <c r="C3" s="573"/>
      <c r="D3" s="573"/>
      <c r="E3" s="573"/>
      <c r="F3" s="573"/>
      <c r="G3" s="573"/>
      <c r="H3" s="573"/>
      <c r="I3" s="28"/>
      <c r="J3" s="28"/>
      <c r="K3" s="28"/>
      <c r="L3" s="28"/>
      <c r="M3" s="28"/>
      <c r="N3" s="28"/>
      <c r="O3" s="28"/>
      <c r="P3" s="28"/>
      <c r="Q3" s="28"/>
      <c r="R3" s="28"/>
      <c r="S3" s="28"/>
    </row>
    <row r="4" spans="1:19" ht="16" thickBot="1">
      <c r="A4" s="99"/>
      <c r="B4" s="99"/>
      <c r="C4" s="98"/>
      <c r="D4" s="98"/>
      <c r="E4" s="98"/>
      <c r="F4" s="98"/>
      <c r="G4" s="98"/>
      <c r="H4" s="28"/>
      <c r="I4" s="28"/>
      <c r="J4" s="28"/>
      <c r="K4" s="28"/>
      <c r="L4" s="28"/>
      <c r="M4" s="28"/>
      <c r="N4" s="28"/>
      <c r="O4" s="28"/>
      <c r="P4" s="28"/>
      <c r="Q4" s="28"/>
      <c r="R4" s="28"/>
      <c r="S4" s="28"/>
    </row>
    <row r="5" spans="1:19" ht="15.75" customHeight="1">
      <c r="A5" s="28"/>
      <c r="B5" s="28"/>
      <c r="C5" s="578" t="s">
        <v>201</v>
      </c>
      <c r="D5" s="579"/>
      <c r="E5" s="579"/>
      <c r="F5" s="579"/>
      <c r="G5" s="579"/>
      <c r="H5" s="576" t="s">
        <v>202</v>
      </c>
      <c r="I5" s="576"/>
      <c r="J5" s="576"/>
      <c r="K5" s="576"/>
      <c r="L5" s="574" t="s">
        <v>336</v>
      </c>
      <c r="M5" s="574"/>
      <c r="N5" s="574"/>
      <c r="O5" s="574"/>
      <c r="P5" s="575"/>
      <c r="Q5" s="28"/>
      <c r="R5" s="28"/>
      <c r="S5" s="28"/>
    </row>
    <row r="6" spans="1:19" ht="15.75" customHeight="1" thickBot="1">
      <c r="A6" s="28"/>
      <c r="B6" s="28"/>
      <c r="C6" s="580"/>
      <c r="D6" s="581"/>
      <c r="E6" s="581"/>
      <c r="F6" s="581"/>
      <c r="G6" s="581"/>
      <c r="H6" s="577" t="s">
        <v>331</v>
      </c>
      <c r="I6" s="577"/>
      <c r="J6" s="577"/>
      <c r="K6" s="577"/>
      <c r="L6" s="582" t="s">
        <v>332</v>
      </c>
      <c r="M6" s="582"/>
      <c r="N6" s="582"/>
      <c r="O6" s="582"/>
      <c r="P6" s="583"/>
      <c r="Q6" s="28"/>
      <c r="R6" s="28"/>
      <c r="S6" s="28"/>
    </row>
    <row r="7" spans="1:19" ht="57" customHeight="1">
      <c r="A7" s="207" t="s">
        <v>29</v>
      </c>
      <c r="B7" s="206" t="s">
        <v>175</v>
      </c>
      <c r="C7" s="208" t="s">
        <v>335</v>
      </c>
      <c r="D7" s="194" t="s">
        <v>337</v>
      </c>
      <c r="E7" s="194" t="s">
        <v>207</v>
      </c>
      <c r="F7" s="194" t="s">
        <v>119</v>
      </c>
      <c r="G7" s="195" t="s">
        <v>46</v>
      </c>
      <c r="H7" s="191" t="s">
        <v>204</v>
      </c>
      <c r="I7" s="196" t="s">
        <v>268</v>
      </c>
      <c r="J7" s="196" t="s">
        <v>205</v>
      </c>
      <c r="K7" s="197" t="s">
        <v>206</v>
      </c>
      <c r="L7" s="205" t="s">
        <v>203</v>
      </c>
      <c r="M7" s="181" t="s">
        <v>208</v>
      </c>
      <c r="N7" s="181" t="s">
        <v>209</v>
      </c>
      <c r="O7" s="181" t="s">
        <v>210</v>
      </c>
      <c r="P7" s="202" t="s">
        <v>211</v>
      </c>
      <c r="Q7" s="28"/>
      <c r="R7" s="28"/>
      <c r="S7" s="28"/>
    </row>
    <row r="8" spans="1:19">
      <c r="A8" s="52">
        <v>1</v>
      </c>
      <c r="B8" s="54"/>
      <c r="C8" s="45"/>
      <c r="D8" s="75"/>
      <c r="E8" s="16"/>
      <c r="F8" s="16"/>
      <c r="G8" s="46"/>
      <c r="H8" s="88"/>
      <c r="I8" s="18"/>
      <c r="J8" s="18"/>
      <c r="K8" s="81"/>
      <c r="L8" s="45"/>
      <c r="M8" s="16"/>
      <c r="N8" s="16"/>
      <c r="O8" s="16"/>
      <c r="P8" s="46"/>
      <c r="Q8" s="28"/>
      <c r="R8" s="28"/>
      <c r="S8" s="28"/>
    </row>
    <row r="9" spans="1:19">
      <c r="A9" s="52">
        <v>2</v>
      </c>
      <c r="B9" s="54"/>
      <c r="C9" s="45"/>
      <c r="D9" s="75"/>
      <c r="E9" s="16"/>
      <c r="F9" s="16"/>
      <c r="G9" s="46"/>
      <c r="H9" s="88"/>
      <c r="I9" s="18"/>
      <c r="J9" s="18"/>
      <c r="K9" s="81"/>
      <c r="L9" s="45"/>
      <c r="M9" s="16"/>
      <c r="N9" s="16"/>
      <c r="O9" s="16"/>
      <c r="P9" s="46"/>
      <c r="Q9" s="28"/>
      <c r="R9" s="28"/>
      <c r="S9" s="28"/>
    </row>
    <row r="10" spans="1:19">
      <c r="A10" s="52">
        <v>3</v>
      </c>
      <c r="B10" s="54"/>
      <c r="C10" s="45"/>
      <c r="D10" s="75"/>
      <c r="E10" s="16"/>
      <c r="F10" s="16"/>
      <c r="G10" s="46"/>
      <c r="H10" s="88"/>
      <c r="I10" s="18"/>
      <c r="J10" s="18"/>
      <c r="K10" s="81"/>
      <c r="L10" s="45"/>
      <c r="M10" s="16"/>
      <c r="N10" s="16"/>
      <c r="O10" s="16"/>
      <c r="P10" s="46"/>
      <c r="Q10" s="28"/>
      <c r="R10" s="28"/>
      <c r="S10" s="28"/>
    </row>
    <row r="11" spans="1:19">
      <c r="A11" s="52">
        <v>4</v>
      </c>
      <c r="B11" s="54"/>
      <c r="C11" s="45"/>
      <c r="D11" s="75"/>
      <c r="E11" s="16"/>
      <c r="F11" s="16"/>
      <c r="G11" s="46"/>
      <c r="H11" s="88"/>
      <c r="I11" s="18"/>
      <c r="J11" s="18"/>
      <c r="K11" s="81"/>
      <c r="L11" s="45"/>
      <c r="M11" s="16"/>
      <c r="N11" s="16"/>
      <c r="O11" s="16"/>
      <c r="P11" s="46"/>
      <c r="Q11" s="28"/>
      <c r="R11" s="28"/>
      <c r="S11" s="28"/>
    </row>
    <row r="12" spans="1:19">
      <c r="A12" s="52">
        <v>5</v>
      </c>
      <c r="B12" s="54"/>
      <c r="C12" s="45"/>
      <c r="D12" s="75"/>
      <c r="E12" s="16"/>
      <c r="F12" s="16"/>
      <c r="G12" s="46"/>
      <c r="H12" s="88"/>
      <c r="I12" s="18"/>
      <c r="J12" s="18"/>
      <c r="K12" s="81"/>
      <c r="L12" s="45"/>
      <c r="M12" s="16"/>
      <c r="N12" s="16"/>
      <c r="O12" s="16"/>
      <c r="P12" s="46"/>
      <c r="Q12" s="28"/>
      <c r="R12" s="28"/>
      <c r="S12" s="28"/>
    </row>
    <row r="13" spans="1:19">
      <c r="A13" s="52">
        <v>6</v>
      </c>
      <c r="B13" s="54"/>
      <c r="C13" s="45"/>
      <c r="D13" s="75"/>
      <c r="E13" s="16"/>
      <c r="F13" s="16"/>
      <c r="G13" s="46"/>
      <c r="H13" s="88"/>
      <c r="I13" s="18"/>
      <c r="J13" s="18"/>
      <c r="K13" s="81"/>
      <c r="L13" s="45"/>
      <c r="M13" s="16"/>
      <c r="N13" s="16"/>
      <c r="O13" s="16"/>
      <c r="P13" s="46"/>
      <c r="Q13" s="28"/>
      <c r="R13" s="28"/>
      <c r="S13" s="28"/>
    </row>
    <row r="14" spans="1:19">
      <c r="A14" s="52">
        <v>7</v>
      </c>
      <c r="B14" s="54"/>
      <c r="C14" s="45"/>
      <c r="D14" s="75"/>
      <c r="E14" s="16"/>
      <c r="F14" s="16"/>
      <c r="G14" s="46"/>
      <c r="H14" s="88"/>
      <c r="I14" s="18"/>
      <c r="J14" s="18"/>
      <c r="K14" s="81"/>
      <c r="L14" s="45"/>
      <c r="M14" s="16"/>
      <c r="N14" s="16"/>
      <c r="O14" s="16"/>
      <c r="P14" s="46"/>
      <c r="Q14" s="28"/>
      <c r="R14" s="28"/>
      <c r="S14" s="28"/>
    </row>
    <row r="15" spans="1:19">
      <c r="A15" s="52">
        <v>8</v>
      </c>
      <c r="B15" s="54"/>
      <c r="C15" s="45"/>
      <c r="D15" s="75"/>
      <c r="E15" s="16"/>
      <c r="F15" s="16"/>
      <c r="G15" s="46"/>
      <c r="H15" s="88"/>
      <c r="I15" s="18"/>
      <c r="J15" s="18"/>
      <c r="K15" s="81"/>
      <c r="L15" s="45"/>
      <c r="M15" s="16"/>
      <c r="N15" s="16"/>
      <c r="O15" s="16"/>
      <c r="P15" s="46"/>
      <c r="Q15" s="28"/>
      <c r="R15" s="28"/>
      <c r="S15" s="28"/>
    </row>
    <row r="16" spans="1:19">
      <c r="A16" s="52">
        <v>9</v>
      </c>
      <c r="B16" s="54"/>
      <c r="C16" s="45"/>
      <c r="D16" s="75"/>
      <c r="E16" s="16"/>
      <c r="F16" s="16"/>
      <c r="G16" s="46"/>
      <c r="H16" s="88"/>
      <c r="I16" s="18"/>
      <c r="J16" s="18"/>
      <c r="K16" s="81"/>
      <c r="L16" s="45"/>
      <c r="M16" s="16"/>
      <c r="N16" s="16"/>
      <c r="O16" s="16"/>
      <c r="P16" s="46"/>
      <c r="Q16" s="28"/>
      <c r="R16" s="28"/>
      <c r="S16" s="28"/>
    </row>
    <row r="17" spans="1:19">
      <c r="A17" s="52">
        <v>10</v>
      </c>
      <c r="B17" s="54"/>
      <c r="C17" s="45"/>
      <c r="D17" s="75"/>
      <c r="E17" s="16"/>
      <c r="F17" s="16"/>
      <c r="G17" s="46"/>
      <c r="H17" s="88"/>
      <c r="I17" s="18"/>
      <c r="J17" s="18"/>
      <c r="K17" s="81"/>
      <c r="L17" s="45"/>
      <c r="M17" s="16"/>
      <c r="N17" s="16"/>
      <c r="O17" s="16"/>
      <c r="P17" s="46"/>
      <c r="Q17" s="28"/>
      <c r="R17" s="28"/>
      <c r="S17" s="28"/>
    </row>
    <row r="18" spans="1:19">
      <c r="A18" s="52">
        <v>11</v>
      </c>
      <c r="B18" s="54"/>
      <c r="C18" s="45"/>
      <c r="D18" s="75"/>
      <c r="E18" s="16"/>
      <c r="F18" s="16"/>
      <c r="G18" s="46"/>
      <c r="H18" s="88"/>
      <c r="I18" s="18"/>
      <c r="J18" s="18"/>
      <c r="K18" s="81"/>
      <c r="L18" s="45"/>
      <c r="M18" s="16"/>
      <c r="N18" s="16"/>
      <c r="O18" s="16"/>
      <c r="P18" s="46"/>
      <c r="Q18" s="28"/>
      <c r="R18" s="28"/>
      <c r="S18" s="28"/>
    </row>
    <row r="19" spans="1:19">
      <c r="A19" s="52">
        <v>12</v>
      </c>
      <c r="B19" s="54"/>
      <c r="C19" s="45"/>
      <c r="D19" s="75"/>
      <c r="E19" s="16"/>
      <c r="F19" s="16"/>
      <c r="G19" s="46"/>
      <c r="H19" s="88"/>
      <c r="I19" s="18"/>
      <c r="J19" s="18"/>
      <c r="K19" s="81"/>
      <c r="L19" s="45"/>
      <c r="M19" s="16"/>
      <c r="N19" s="16"/>
      <c r="O19" s="16"/>
      <c r="P19" s="46"/>
      <c r="Q19" s="28"/>
      <c r="R19" s="28"/>
      <c r="S19" s="28"/>
    </row>
    <row r="20" spans="1:19">
      <c r="A20" s="52">
        <v>13</v>
      </c>
      <c r="B20" s="54"/>
      <c r="C20" s="45"/>
      <c r="D20" s="75"/>
      <c r="E20" s="16"/>
      <c r="F20" s="16"/>
      <c r="G20" s="46"/>
      <c r="H20" s="88"/>
      <c r="I20" s="18"/>
      <c r="J20" s="18"/>
      <c r="K20" s="81"/>
      <c r="L20" s="45"/>
      <c r="M20" s="16"/>
      <c r="N20" s="16"/>
      <c r="O20" s="16"/>
      <c r="P20" s="46"/>
      <c r="Q20" s="28"/>
      <c r="R20" s="28"/>
      <c r="S20" s="28"/>
    </row>
    <row r="21" spans="1:19">
      <c r="A21" s="52">
        <v>14</v>
      </c>
      <c r="B21" s="54"/>
      <c r="C21" s="45"/>
      <c r="D21" s="75"/>
      <c r="E21" s="16"/>
      <c r="F21" s="16"/>
      <c r="G21" s="46"/>
      <c r="H21" s="88"/>
      <c r="I21" s="18"/>
      <c r="J21" s="18"/>
      <c r="K21" s="81"/>
      <c r="L21" s="45"/>
      <c r="M21" s="16"/>
      <c r="N21" s="16"/>
      <c r="O21" s="16"/>
      <c r="P21" s="46"/>
      <c r="Q21" s="28"/>
      <c r="R21" s="28"/>
      <c r="S21" s="28"/>
    </row>
    <row r="22" spans="1:19">
      <c r="A22" s="52">
        <v>15</v>
      </c>
      <c r="B22" s="54"/>
      <c r="C22" s="45"/>
      <c r="D22" s="75"/>
      <c r="E22" s="16"/>
      <c r="F22" s="16"/>
      <c r="G22" s="46"/>
      <c r="H22" s="88"/>
      <c r="I22" s="18"/>
      <c r="J22" s="18"/>
      <c r="K22" s="81"/>
      <c r="L22" s="45"/>
      <c r="M22" s="16"/>
      <c r="N22" s="16"/>
      <c r="O22" s="16"/>
      <c r="P22" s="46"/>
      <c r="Q22" s="28"/>
      <c r="R22" s="28"/>
      <c r="S22" s="28"/>
    </row>
    <row r="23" spans="1:19">
      <c r="A23" s="52">
        <v>16</v>
      </c>
      <c r="B23" s="54"/>
      <c r="C23" s="45"/>
      <c r="D23" s="75"/>
      <c r="E23" s="16"/>
      <c r="F23" s="16"/>
      <c r="G23" s="46"/>
      <c r="H23" s="88"/>
      <c r="I23" s="18"/>
      <c r="J23" s="18"/>
      <c r="K23" s="81"/>
      <c r="L23" s="45"/>
      <c r="M23" s="16"/>
      <c r="N23" s="16"/>
      <c r="O23" s="16"/>
      <c r="P23" s="46"/>
      <c r="Q23" s="28"/>
      <c r="R23" s="28"/>
      <c r="S23" s="28"/>
    </row>
    <row r="24" spans="1:19">
      <c r="A24" s="52">
        <v>17</v>
      </c>
      <c r="B24" s="54"/>
      <c r="C24" s="45"/>
      <c r="D24" s="75"/>
      <c r="E24" s="16"/>
      <c r="F24" s="16"/>
      <c r="G24" s="46"/>
      <c r="H24" s="88"/>
      <c r="I24" s="18"/>
      <c r="J24" s="18"/>
      <c r="K24" s="81"/>
      <c r="L24" s="45"/>
      <c r="M24" s="16"/>
      <c r="N24" s="16"/>
      <c r="O24" s="16"/>
      <c r="P24" s="46"/>
      <c r="Q24" s="28"/>
      <c r="R24" s="28"/>
      <c r="S24" s="28"/>
    </row>
    <row r="25" spans="1:19">
      <c r="A25" s="52">
        <v>18</v>
      </c>
      <c r="B25" s="54"/>
      <c r="C25" s="45"/>
      <c r="D25" s="75"/>
      <c r="E25" s="16"/>
      <c r="F25" s="16"/>
      <c r="G25" s="46"/>
      <c r="H25" s="88"/>
      <c r="I25" s="18"/>
      <c r="J25" s="18"/>
      <c r="K25" s="81"/>
      <c r="L25" s="45"/>
      <c r="M25" s="16"/>
      <c r="N25" s="16"/>
      <c r="O25" s="16"/>
      <c r="P25" s="46"/>
      <c r="Q25" s="28"/>
      <c r="R25" s="28"/>
      <c r="S25" s="28"/>
    </row>
    <row r="26" spans="1:19">
      <c r="A26" s="52">
        <v>19</v>
      </c>
      <c r="B26" s="54"/>
      <c r="C26" s="45"/>
      <c r="D26" s="75"/>
      <c r="E26" s="16"/>
      <c r="F26" s="16"/>
      <c r="G26" s="46"/>
      <c r="H26" s="88"/>
      <c r="I26" s="18"/>
      <c r="J26" s="18"/>
      <c r="K26" s="81"/>
      <c r="L26" s="45"/>
      <c r="M26" s="16"/>
      <c r="N26" s="16"/>
      <c r="O26" s="16"/>
      <c r="P26" s="46"/>
      <c r="Q26" s="28"/>
      <c r="R26" s="28"/>
      <c r="S26" s="28"/>
    </row>
    <row r="27" spans="1:19">
      <c r="A27" s="52">
        <v>20</v>
      </c>
      <c r="B27" s="54"/>
      <c r="C27" s="45"/>
      <c r="D27" s="75"/>
      <c r="E27" s="16"/>
      <c r="F27" s="16"/>
      <c r="G27" s="46"/>
      <c r="H27" s="88"/>
      <c r="I27" s="18"/>
      <c r="J27" s="18"/>
      <c r="K27" s="81"/>
      <c r="L27" s="45"/>
      <c r="M27" s="16"/>
      <c r="N27" s="16"/>
      <c r="O27" s="16"/>
      <c r="P27" s="46"/>
      <c r="Q27" s="28"/>
      <c r="R27" s="28"/>
      <c r="S27" s="28"/>
    </row>
    <row r="28" spans="1:19">
      <c r="A28" s="52">
        <v>21</v>
      </c>
      <c r="B28" s="54"/>
      <c r="C28" s="45"/>
      <c r="D28" s="75"/>
      <c r="E28" s="16"/>
      <c r="F28" s="16"/>
      <c r="G28" s="46"/>
      <c r="H28" s="88"/>
      <c r="I28" s="18"/>
      <c r="J28" s="18"/>
      <c r="K28" s="81"/>
      <c r="L28" s="45"/>
      <c r="M28" s="16"/>
      <c r="N28" s="16"/>
      <c r="O28" s="16"/>
      <c r="P28" s="46"/>
      <c r="Q28" s="28"/>
      <c r="R28" s="28"/>
      <c r="S28" s="28"/>
    </row>
    <row r="29" spans="1:19">
      <c r="A29" s="52">
        <v>22</v>
      </c>
      <c r="B29" s="54"/>
      <c r="C29" s="45"/>
      <c r="D29" s="75"/>
      <c r="E29" s="16"/>
      <c r="F29" s="16"/>
      <c r="G29" s="46"/>
      <c r="H29" s="88"/>
      <c r="I29" s="18"/>
      <c r="J29" s="18"/>
      <c r="K29" s="81"/>
      <c r="L29" s="45"/>
      <c r="M29" s="16"/>
      <c r="N29" s="16"/>
      <c r="O29" s="16"/>
      <c r="P29" s="46"/>
      <c r="Q29" s="28"/>
      <c r="R29" s="28"/>
      <c r="S29" s="28"/>
    </row>
    <row r="30" spans="1:19">
      <c r="A30" s="52">
        <v>23</v>
      </c>
      <c r="B30" s="54"/>
      <c r="C30" s="45"/>
      <c r="D30" s="75"/>
      <c r="E30" s="16"/>
      <c r="F30" s="16"/>
      <c r="G30" s="46"/>
      <c r="H30" s="88"/>
      <c r="I30" s="18"/>
      <c r="J30" s="18"/>
      <c r="K30" s="81"/>
      <c r="L30" s="45"/>
      <c r="M30" s="16"/>
      <c r="N30" s="16"/>
      <c r="O30" s="16"/>
      <c r="P30" s="46"/>
      <c r="Q30" s="28"/>
      <c r="R30" s="28"/>
      <c r="S30" s="28"/>
    </row>
    <row r="31" spans="1:19">
      <c r="A31" s="52">
        <v>24</v>
      </c>
      <c r="B31" s="54"/>
      <c r="C31" s="45"/>
      <c r="D31" s="75"/>
      <c r="E31" s="16"/>
      <c r="F31" s="16"/>
      <c r="G31" s="46"/>
      <c r="H31" s="88"/>
      <c r="I31" s="18"/>
      <c r="J31" s="18"/>
      <c r="K31" s="81"/>
      <c r="L31" s="45"/>
      <c r="M31" s="16"/>
      <c r="N31" s="16"/>
      <c r="O31" s="16"/>
      <c r="P31" s="46"/>
      <c r="Q31" s="28"/>
      <c r="R31" s="28"/>
      <c r="S31" s="28"/>
    </row>
    <row r="32" spans="1:19">
      <c r="A32" s="52">
        <v>25</v>
      </c>
      <c r="B32" s="54"/>
      <c r="C32" s="45"/>
      <c r="D32" s="75"/>
      <c r="E32" s="16"/>
      <c r="F32" s="16"/>
      <c r="G32" s="46"/>
      <c r="H32" s="88"/>
      <c r="I32" s="18"/>
      <c r="J32" s="18"/>
      <c r="K32" s="81"/>
      <c r="L32" s="45"/>
      <c r="M32" s="16"/>
      <c r="N32" s="16"/>
      <c r="O32" s="16"/>
      <c r="P32" s="46"/>
      <c r="Q32" s="28"/>
      <c r="R32" s="28"/>
      <c r="S32" s="28"/>
    </row>
    <row r="33" spans="1:19">
      <c r="A33" s="52">
        <v>26</v>
      </c>
      <c r="B33" s="54"/>
      <c r="C33" s="45"/>
      <c r="D33" s="75"/>
      <c r="E33" s="16"/>
      <c r="F33" s="16"/>
      <c r="G33" s="46"/>
      <c r="H33" s="88"/>
      <c r="I33" s="18"/>
      <c r="J33" s="18"/>
      <c r="K33" s="81"/>
      <c r="L33" s="45"/>
      <c r="M33" s="16"/>
      <c r="N33" s="16"/>
      <c r="O33" s="16"/>
      <c r="P33" s="46"/>
      <c r="Q33" s="28"/>
      <c r="R33" s="28"/>
      <c r="S33" s="28"/>
    </row>
    <row r="34" spans="1:19">
      <c r="A34" s="52">
        <v>27</v>
      </c>
      <c r="B34" s="54"/>
      <c r="C34" s="45"/>
      <c r="D34" s="75"/>
      <c r="E34" s="16"/>
      <c r="F34" s="16"/>
      <c r="G34" s="46"/>
      <c r="H34" s="88"/>
      <c r="I34" s="18"/>
      <c r="J34" s="18"/>
      <c r="K34" s="81"/>
      <c r="L34" s="45"/>
      <c r="M34" s="16"/>
      <c r="N34" s="16"/>
      <c r="O34" s="16"/>
      <c r="P34" s="46"/>
      <c r="Q34" s="28"/>
      <c r="R34" s="28"/>
      <c r="S34" s="28"/>
    </row>
    <row r="35" spans="1:19">
      <c r="A35" s="52">
        <v>28</v>
      </c>
      <c r="B35" s="54"/>
      <c r="C35" s="45"/>
      <c r="D35" s="75"/>
      <c r="E35" s="16"/>
      <c r="F35" s="16"/>
      <c r="G35" s="46"/>
      <c r="H35" s="88"/>
      <c r="I35" s="18"/>
      <c r="J35" s="18"/>
      <c r="K35" s="81"/>
      <c r="L35" s="45"/>
      <c r="M35" s="16"/>
      <c r="N35" s="16"/>
      <c r="O35" s="16"/>
      <c r="P35" s="46"/>
      <c r="Q35" s="28"/>
      <c r="R35" s="28"/>
      <c r="S35" s="28"/>
    </row>
    <row r="36" spans="1:19">
      <c r="A36" s="52">
        <v>29</v>
      </c>
      <c r="B36" s="54"/>
      <c r="C36" s="45"/>
      <c r="D36" s="75"/>
      <c r="E36" s="16"/>
      <c r="F36" s="16"/>
      <c r="G36" s="46"/>
      <c r="H36" s="88"/>
      <c r="I36" s="18"/>
      <c r="J36" s="18"/>
      <c r="K36" s="81"/>
      <c r="L36" s="45"/>
      <c r="M36" s="16"/>
      <c r="N36" s="16"/>
      <c r="O36" s="16"/>
      <c r="P36" s="46"/>
      <c r="Q36" s="28"/>
      <c r="R36" s="28"/>
      <c r="S36" s="28"/>
    </row>
    <row r="37" spans="1:19">
      <c r="A37" s="52">
        <v>30</v>
      </c>
      <c r="B37" s="54"/>
      <c r="C37" s="45"/>
      <c r="D37" s="75"/>
      <c r="E37" s="16"/>
      <c r="F37" s="16"/>
      <c r="G37" s="46"/>
      <c r="H37" s="88"/>
      <c r="I37" s="18"/>
      <c r="J37" s="18"/>
      <c r="K37" s="81"/>
      <c r="L37" s="45"/>
      <c r="M37" s="16"/>
      <c r="N37" s="16"/>
      <c r="O37" s="16"/>
      <c r="P37" s="46"/>
      <c r="Q37" s="28"/>
      <c r="R37" s="28"/>
      <c r="S37" s="28"/>
    </row>
    <row r="38" spans="1:19">
      <c r="A38" s="52">
        <v>31</v>
      </c>
      <c r="B38" s="54"/>
      <c r="C38" s="45"/>
      <c r="D38" s="75"/>
      <c r="E38" s="16"/>
      <c r="F38" s="16"/>
      <c r="G38" s="46"/>
      <c r="H38" s="88"/>
      <c r="I38" s="18"/>
      <c r="J38" s="18"/>
      <c r="K38" s="81"/>
      <c r="L38" s="45"/>
      <c r="M38" s="16"/>
      <c r="N38" s="16"/>
      <c r="O38" s="16"/>
      <c r="P38" s="46"/>
      <c r="Q38" s="28"/>
      <c r="R38" s="28"/>
      <c r="S38" s="28"/>
    </row>
    <row r="39" spans="1:19">
      <c r="A39" s="52">
        <v>32</v>
      </c>
      <c r="B39" s="54"/>
      <c r="C39" s="45"/>
      <c r="D39" s="75"/>
      <c r="E39" s="16"/>
      <c r="F39" s="16"/>
      <c r="G39" s="46"/>
      <c r="H39" s="88"/>
      <c r="I39" s="18"/>
      <c r="J39" s="18"/>
      <c r="K39" s="81"/>
      <c r="L39" s="45"/>
      <c r="M39" s="16"/>
      <c r="N39" s="16"/>
      <c r="O39" s="16"/>
      <c r="P39" s="46"/>
      <c r="Q39" s="28"/>
      <c r="R39" s="28"/>
      <c r="S39" s="28"/>
    </row>
    <row r="40" spans="1:19">
      <c r="A40" s="52">
        <v>33</v>
      </c>
      <c r="B40" s="54"/>
      <c r="C40" s="45"/>
      <c r="D40" s="75"/>
      <c r="E40" s="16"/>
      <c r="F40" s="16"/>
      <c r="G40" s="46"/>
      <c r="H40" s="88"/>
      <c r="I40" s="18"/>
      <c r="J40" s="18"/>
      <c r="K40" s="81"/>
      <c r="L40" s="45"/>
      <c r="M40" s="16"/>
      <c r="N40" s="16"/>
      <c r="O40" s="16"/>
      <c r="P40" s="46"/>
      <c r="Q40" s="28"/>
      <c r="R40" s="28"/>
      <c r="S40" s="28"/>
    </row>
    <row r="41" spans="1:19">
      <c r="A41" s="52">
        <v>34</v>
      </c>
      <c r="B41" s="54"/>
      <c r="C41" s="45"/>
      <c r="D41" s="75"/>
      <c r="E41" s="16"/>
      <c r="F41" s="16"/>
      <c r="G41" s="46"/>
      <c r="H41" s="88"/>
      <c r="I41" s="18"/>
      <c r="J41" s="18"/>
      <c r="K41" s="81"/>
      <c r="L41" s="45"/>
      <c r="M41" s="16"/>
      <c r="N41" s="16"/>
      <c r="O41" s="16"/>
      <c r="P41" s="46"/>
      <c r="Q41" s="28"/>
      <c r="R41" s="28"/>
      <c r="S41" s="28"/>
    </row>
    <row r="42" spans="1:19">
      <c r="A42" s="52">
        <v>35</v>
      </c>
      <c r="B42" s="54"/>
      <c r="C42" s="45"/>
      <c r="D42" s="75"/>
      <c r="E42" s="16"/>
      <c r="F42" s="16"/>
      <c r="G42" s="46"/>
      <c r="H42" s="88"/>
      <c r="I42" s="18"/>
      <c r="J42" s="18"/>
      <c r="K42" s="81"/>
      <c r="L42" s="45"/>
      <c r="M42" s="16"/>
      <c r="N42" s="16"/>
      <c r="O42" s="16"/>
      <c r="P42" s="46"/>
      <c r="Q42" s="28"/>
      <c r="R42" s="28"/>
      <c r="S42" s="28"/>
    </row>
    <row r="43" spans="1:19">
      <c r="A43" s="52">
        <v>36</v>
      </c>
      <c r="B43" s="54"/>
      <c r="C43" s="45"/>
      <c r="D43" s="75"/>
      <c r="E43" s="16"/>
      <c r="F43" s="16"/>
      <c r="G43" s="46"/>
      <c r="H43" s="88"/>
      <c r="I43" s="18"/>
      <c r="J43" s="18"/>
      <c r="K43" s="81"/>
      <c r="L43" s="45"/>
      <c r="M43" s="16"/>
      <c r="N43" s="16"/>
      <c r="O43" s="16"/>
      <c r="P43" s="46"/>
      <c r="Q43" s="28"/>
      <c r="R43" s="28"/>
      <c r="S43" s="28"/>
    </row>
    <row r="44" spans="1:19">
      <c r="A44" s="52">
        <v>37</v>
      </c>
      <c r="B44" s="54"/>
      <c r="C44" s="45"/>
      <c r="D44" s="75"/>
      <c r="E44" s="16"/>
      <c r="F44" s="16"/>
      <c r="G44" s="46"/>
      <c r="H44" s="88"/>
      <c r="I44" s="18"/>
      <c r="J44" s="18"/>
      <c r="K44" s="81"/>
      <c r="L44" s="45"/>
      <c r="M44" s="16"/>
      <c r="N44" s="16"/>
      <c r="O44" s="16"/>
      <c r="P44" s="46"/>
      <c r="Q44" s="28"/>
      <c r="R44" s="28"/>
      <c r="S44" s="28"/>
    </row>
    <row r="45" spans="1:19">
      <c r="A45" s="52">
        <v>38</v>
      </c>
      <c r="B45" s="54"/>
      <c r="C45" s="45"/>
      <c r="D45" s="75"/>
      <c r="E45" s="16"/>
      <c r="F45" s="16"/>
      <c r="G45" s="46"/>
      <c r="H45" s="88"/>
      <c r="I45" s="18"/>
      <c r="J45" s="18"/>
      <c r="K45" s="81"/>
      <c r="L45" s="45"/>
      <c r="M45" s="16"/>
      <c r="N45" s="16"/>
      <c r="O45" s="16"/>
      <c r="P45" s="46"/>
      <c r="Q45" s="28"/>
      <c r="R45" s="28"/>
      <c r="S45" s="28"/>
    </row>
    <row r="46" spans="1:19">
      <c r="A46" s="52">
        <v>39</v>
      </c>
      <c r="B46" s="54"/>
      <c r="C46" s="45"/>
      <c r="D46" s="75"/>
      <c r="E46" s="16"/>
      <c r="F46" s="16"/>
      <c r="G46" s="46"/>
      <c r="H46" s="88"/>
      <c r="I46" s="18"/>
      <c r="J46" s="18"/>
      <c r="K46" s="81"/>
      <c r="L46" s="45"/>
      <c r="M46" s="16"/>
      <c r="N46" s="16"/>
      <c r="O46" s="16"/>
      <c r="P46" s="46"/>
      <c r="Q46" s="28"/>
      <c r="R46" s="28"/>
      <c r="S46" s="28"/>
    </row>
    <row r="47" spans="1:19">
      <c r="A47" s="52">
        <v>40</v>
      </c>
      <c r="B47" s="54"/>
      <c r="C47" s="45"/>
      <c r="D47" s="75"/>
      <c r="E47" s="16"/>
      <c r="F47" s="16"/>
      <c r="G47" s="46"/>
      <c r="H47" s="88"/>
      <c r="I47" s="18"/>
      <c r="J47" s="18"/>
      <c r="K47" s="81"/>
      <c r="L47" s="45"/>
      <c r="M47" s="16"/>
      <c r="N47" s="16"/>
      <c r="O47" s="16"/>
      <c r="P47" s="46"/>
      <c r="Q47" s="28"/>
      <c r="R47" s="28"/>
      <c r="S47" s="28"/>
    </row>
    <row r="48" spans="1:19">
      <c r="A48" s="52">
        <v>41</v>
      </c>
      <c r="B48" s="54"/>
      <c r="C48" s="45"/>
      <c r="D48" s="75"/>
      <c r="E48" s="16"/>
      <c r="F48" s="16"/>
      <c r="G48" s="46"/>
      <c r="H48" s="88"/>
      <c r="I48" s="18"/>
      <c r="J48" s="18"/>
      <c r="K48" s="81"/>
      <c r="L48" s="45"/>
      <c r="M48" s="16"/>
      <c r="N48" s="16"/>
      <c r="O48" s="16"/>
      <c r="P48" s="46"/>
      <c r="Q48" s="28"/>
      <c r="R48" s="28"/>
      <c r="S48" s="28"/>
    </row>
    <row r="49" spans="1:19">
      <c r="A49" s="52">
        <v>42</v>
      </c>
      <c r="B49" s="54"/>
      <c r="C49" s="45"/>
      <c r="D49" s="75"/>
      <c r="E49" s="16"/>
      <c r="F49" s="16"/>
      <c r="G49" s="46"/>
      <c r="H49" s="88"/>
      <c r="I49" s="18"/>
      <c r="J49" s="18"/>
      <c r="K49" s="81"/>
      <c r="L49" s="45"/>
      <c r="M49" s="16"/>
      <c r="N49" s="16"/>
      <c r="O49" s="16"/>
      <c r="P49" s="46"/>
      <c r="Q49" s="28"/>
      <c r="R49" s="28"/>
      <c r="S49" s="28"/>
    </row>
    <row r="50" spans="1:19">
      <c r="A50" s="52">
        <v>43</v>
      </c>
      <c r="B50" s="54"/>
      <c r="C50" s="45"/>
      <c r="D50" s="75"/>
      <c r="E50" s="16"/>
      <c r="F50" s="16"/>
      <c r="G50" s="46"/>
      <c r="H50" s="88"/>
      <c r="I50" s="18"/>
      <c r="J50" s="18"/>
      <c r="K50" s="81"/>
      <c r="L50" s="45"/>
      <c r="M50" s="16"/>
      <c r="N50" s="16"/>
      <c r="O50" s="16"/>
      <c r="P50" s="46"/>
      <c r="Q50" s="28"/>
      <c r="R50" s="28"/>
      <c r="S50" s="28"/>
    </row>
    <row r="51" spans="1:19">
      <c r="A51" s="52">
        <v>44</v>
      </c>
      <c r="B51" s="54"/>
      <c r="C51" s="45"/>
      <c r="D51" s="75"/>
      <c r="E51" s="16"/>
      <c r="F51" s="16"/>
      <c r="G51" s="46"/>
      <c r="H51" s="88"/>
      <c r="I51" s="18"/>
      <c r="J51" s="18"/>
      <c r="K51" s="81"/>
      <c r="L51" s="45"/>
      <c r="M51" s="16"/>
      <c r="N51" s="16"/>
      <c r="O51" s="16"/>
      <c r="P51" s="46"/>
      <c r="Q51" s="28"/>
      <c r="R51" s="28"/>
      <c r="S51" s="28"/>
    </row>
    <row r="52" spans="1:19">
      <c r="A52" s="52">
        <v>45</v>
      </c>
      <c r="B52" s="54"/>
      <c r="C52" s="45"/>
      <c r="D52" s="75"/>
      <c r="E52" s="16"/>
      <c r="F52" s="16"/>
      <c r="G52" s="46"/>
      <c r="H52" s="88"/>
      <c r="I52" s="18"/>
      <c r="J52" s="18"/>
      <c r="K52" s="81"/>
      <c r="L52" s="45"/>
      <c r="M52" s="16"/>
      <c r="N52" s="16"/>
      <c r="O52" s="16"/>
      <c r="P52" s="46"/>
      <c r="Q52" s="28"/>
      <c r="R52" s="28"/>
      <c r="S52" s="28"/>
    </row>
    <row r="53" spans="1:19">
      <c r="A53" s="52">
        <v>46</v>
      </c>
      <c r="B53" s="54"/>
      <c r="C53" s="45"/>
      <c r="D53" s="75"/>
      <c r="E53" s="16"/>
      <c r="F53" s="16"/>
      <c r="G53" s="46"/>
      <c r="H53" s="88"/>
      <c r="I53" s="18"/>
      <c r="J53" s="18"/>
      <c r="K53" s="81"/>
      <c r="L53" s="45"/>
      <c r="M53" s="16"/>
      <c r="N53" s="16"/>
      <c r="O53" s="16"/>
      <c r="P53" s="46"/>
      <c r="Q53" s="28"/>
      <c r="R53" s="28"/>
      <c r="S53" s="28"/>
    </row>
    <row r="54" spans="1:19">
      <c r="A54" s="52">
        <v>47</v>
      </c>
      <c r="B54" s="54"/>
      <c r="C54" s="45"/>
      <c r="D54" s="75"/>
      <c r="E54" s="16"/>
      <c r="F54" s="16"/>
      <c r="G54" s="46"/>
      <c r="H54" s="88"/>
      <c r="I54" s="18"/>
      <c r="J54" s="18"/>
      <c r="K54" s="81"/>
      <c r="L54" s="45"/>
      <c r="M54" s="16"/>
      <c r="N54" s="16"/>
      <c r="O54" s="16"/>
      <c r="P54" s="46"/>
      <c r="Q54" s="28"/>
      <c r="R54" s="28"/>
      <c r="S54" s="28"/>
    </row>
    <row r="55" spans="1:19">
      <c r="A55" s="52">
        <v>48</v>
      </c>
      <c r="B55" s="54"/>
      <c r="C55" s="87"/>
      <c r="D55" s="150"/>
      <c r="E55" s="16"/>
      <c r="F55" s="75"/>
      <c r="G55" s="46"/>
      <c r="H55" s="88"/>
      <c r="I55" s="18"/>
      <c r="J55" s="18"/>
      <c r="K55" s="81"/>
      <c r="L55" s="45"/>
      <c r="M55" s="16"/>
      <c r="N55" s="16"/>
      <c r="O55" s="16"/>
      <c r="P55" s="46"/>
      <c r="Q55" s="28"/>
      <c r="R55" s="28"/>
      <c r="S55" s="28"/>
    </row>
    <row r="56" spans="1:19" ht="15" thickBot="1">
      <c r="A56" s="52">
        <v>49</v>
      </c>
      <c r="B56" s="56"/>
      <c r="C56" s="85"/>
      <c r="D56" s="151"/>
      <c r="E56" s="48"/>
      <c r="F56" s="86"/>
      <c r="G56" s="49"/>
      <c r="H56" s="89"/>
      <c r="I56" s="61"/>
      <c r="J56" s="61"/>
      <c r="K56" s="82"/>
      <c r="L56" s="47"/>
      <c r="M56" s="48"/>
      <c r="N56" s="48"/>
      <c r="O56" s="48"/>
      <c r="P56" s="49"/>
      <c r="Q56" s="28"/>
      <c r="R56" s="28"/>
      <c r="S56" s="28"/>
    </row>
    <row r="57" spans="1:19" ht="15" thickBot="1">
      <c r="A57" s="53">
        <v>50</v>
      </c>
      <c r="B57" s="28"/>
      <c r="C57" s="28"/>
      <c r="D57" s="28"/>
      <c r="E57" s="28"/>
      <c r="F57" s="28"/>
      <c r="G57" s="28"/>
      <c r="H57" s="28"/>
      <c r="I57" s="28"/>
      <c r="J57" s="28"/>
      <c r="K57" s="28"/>
      <c r="L57" s="28"/>
      <c r="M57" s="28"/>
      <c r="N57" s="28"/>
      <c r="O57" s="28"/>
      <c r="P57" s="28"/>
      <c r="Q57" s="28"/>
      <c r="R57" s="28"/>
      <c r="S57" s="28"/>
    </row>
    <row r="58" spans="1:19">
      <c r="A58" s="28"/>
      <c r="B58" s="28"/>
      <c r="C58" s="28"/>
      <c r="D58" s="28"/>
      <c r="E58" s="28"/>
      <c r="F58" s="28"/>
      <c r="G58" s="28"/>
      <c r="H58" s="28"/>
      <c r="I58" s="28"/>
      <c r="J58" s="28"/>
      <c r="K58" s="28"/>
      <c r="L58" s="28"/>
      <c r="M58" s="28"/>
      <c r="N58" s="28"/>
      <c r="O58" s="28"/>
      <c r="P58" s="28"/>
      <c r="Q58" s="28"/>
      <c r="R58" s="28"/>
      <c r="S58" s="28"/>
    </row>
    <row r="59" spans="1:19">
      <c r="A59" s="28"/>
      <c r="B59" s="28"/>
      <c r="C59" s="28"/>
      <c r="D59" s="28"/>
      <c r="E59" s="28"/>
      <c r="F59" s="28"/>
      <c r="G59" s="28"/>
      <c r="H59" s="28"/>
      <c r="I59" s="28"/>
      <c r="J59" s="28"/>
      <c r="K59" s="28"/>
      <c r="L59" s="28"/>
      <c r="M59" s="28"/>
      <c r="N59" s="28"/>
      <c r="O59" s="28"/>
      <c r="P59" s="28"/>
      <c r="Q59" s="28"/>
      <c r="R59" s="28"/>
      <c r="S59" s="28"/>
    </row>
    <row r="60" spans="1:19">
      <c r="A60" s="28"/>
      <c r="B60" s="28"/>
      <c r="C60" s="28"/>
      <c r="D60" s="28"/>
      <c r="E60" s="28"/>
      <c r="F60" s="28"/>
      <c r="G60" s="28"/>
      <c r="H60" s="28"/>
      <c r="I60" s="28"/>
      <c r="J60" s="28"/>
      <c r="K60" s="28"/>
      <c r="L60" s="28"/>
      <c r="M60" s="28"/>
      <c r="N60" s="28"/>
      <c r="O60" s="28"/>
      <c r="P60" s="28"/>
      <c r="Q60" s="28"/>
      <c r="R60" s="28"/>
      <c r="S60" s="28"/>
    </row>
    <row r="61" spans="1:19">
      <c r="A61" s="28"/>
      <c r="B61" s="28"/>
      <c r="C61" s="28"/>
      <c r="D61" s="28"/>
      <c r="E61" s="28"/>
      <c r="F61" s="28"/>
      <c r="G61" s="28"/>
      <c r="H61" s="28"/>
      <c r="I61" s="28"/>
      <c r="J61" s="28"/>
      <c r="K61" s="28"/>
      <c r="L61" s="28"/>
      <c r="M61" s="28"/>
      <c r="N61" s="28"/>
      <c r="O61" s="28"/>
      <c r="P61" s="28"/>
      <c r="Q61" s="28"/>
      <c r="R61" s="28"/>
      <c r="S61" s="28"/>
    </row>
    <row r="62" spans="1:19">
      <c r="A62" s="28"/>
      <c r="B62" s="28"/>
      <c r="C62" s="28"/>
      <c r="D62" s="28"/>
      <c r="E62" s="28"/>
      <c r="F62" s="28"/>
      <c r="G62" s="28"/>
      <c r="H62" s="28"/>
      <c r="I62" s="28"/>
      <c r="J62" s="28"/>
      <c r="K62" s="28"/>
      <c r="L62" s="28"/>
      <c r="M62" s="28"/>
      <c r="N62" s="28"/>
      <c r="O62" s="28"/>
      <c r="P62" s="28"/>
    </row>
  </sheetData>
  <autoFilter ref="A7:P7" xr:uid="{00000000-0009-0000-0000-000018000000}"/>
  <mergeCells count="7">
    <mergeCell ref="A3:H3"/>
    <mergeCell ref="A1:H1"/>
    <mergeCell ref="L5:P5"/>
    <mergeCell ref="H5:K5"/>
    <mergeCell ref="H6:K6"/>
    <mergeCell ref="C5:G6"/>
    <mergeCell ref="L6:P6"/>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2"/>
  <dimension ref="A1:AF65"/>
  <sheetViews>
    <sheetView topLeftCell="R1" zoomScaleNormal="100" workbookViewId="0">
      <selection activeCell="AB7" sqref="AB7:AB9"/>
    </sheetView>
  </sheetViews>
  <sheetFormatPr baseColWidth="10" defaultRowHeight="14.5"/>
  <cols>
    <col min="1" max="1" width="7.7265625" customWidth="1"/>
    <col min="2" max="2" width="16" customWidth="1"/>
    <col min="3" max="3" width="18.81640625" customWidth="1"/>
    <col min="4" max="4" width="14.81640625" customWidth="1"/>
    <col min="5" max="5" width="15.26953125" customWidth="1"/>
    <col min="6" max="7" width="18.81640625" customWidth="1"/>
    <col min="8" max="9" width="11.1796875" customWidth="1"/>
    <col min="10" max="10" width="25.453125" customWidth="1"/>
    <col min="11" max="11" width="19.453125" customWidth="1"/>
    <col min="12" max="12" width="17.26953125" customWidth="1"/>
    <col min="13" max="15" width="18.81640625" customWidth="1"/>
    <col min="16" max="16" width="27" customWidth="1"/>
    <col min="17" max="20" width="18.81640625" customWidth="1"/>
    <col min="21" max="21" width="12.1796875" customWidth="1"/>
    <col min="22" max="22" width="15" customWidth="1"/>
    <col min="23" max="23" width="14.1796875" customWidth="1"/>
    <col min="24" max="24" width="13.453125" customWidth="1"/>
    <col min="25" max="26" width="14.81640625" customWidth="1"/>
    <col min="27" max="27" width="26.26953125" customWidth="1"/>
    <col min="28" max="28" width="18.81640625" customWidth="1"/>
  </cols>
  <sheetData>
    <row r="1" spans="1:32" ht="15.5">
      <c r="A1" s="603" t="s">
        <v>342</v>
      </c>
      <c r="B1" s="604"/>
      <c r="C1" s="604"/>
      <c r="D1" s="604"/>
      <c r="E1" s="604"/>
      <c r="F1" s="604"/>
      <c r="G1" s="604"/>
      <c r="H1" s="604"/>
      <c r="I1" s="604"/>
      <c r="J1" s="604"/>
      <c r="K1" s="604"/>
      <c r="L1" s="604"/>
      <c r="M1" s="604"/>
      <c r="N1" s="604"/>
      <c r="O1" s="604"/>
      <c r="P1" s="604"/>
      <c r="Q1" s="604"/>
      <c r="R1" s="604"/>
      <c r="S1" s="604"/>
      <c r="T1" s="604"/>
      <c r="U1" s="604"/>
      <c r="V1" s="604"/>
      <c r="W1" s="604"/>
      <c r="X1" s="604"/>
      <c r="Y1" s="604"/>
      <c r="Z1" s="604"/>
      <c r="AA1" s="604"/>
      <c r="AB1" s="604"/>
      <c r="AC1" s="28"/>
      <c r="AD1" s="28"/>
      <c r="AE1" s="28"/>
      <c r="AF1" s="28"/>
    </row>
    <row r="2" spans="1:32">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row>
    <row r="3" spans="1:32" ht="46" customHeight="1">
      <c r="A3" s="440" t="s">
        <v>346</v>
      </c>
      <c r="B3" s="440"/>
      <c r="C3" s="440"/>
      <c r="D3" s="440"/>
      <c r="E3" s="440"/>
      <c r="F3" s="440"/>
      <c r="G3" s="440"/>
      <c r="H3" s="440"/>
      <c r="I3" s="440"/>
      <c r="J3" s="440"/>
      <c r="K3" s="440"/>
      <c r="L3" s="28"/>
      <c r="M3" s="28"/>
      <c r="N3" s="28"/>
      <c r="O3" s="28"/>
      <c r="P3" s="28"/>
      <c r="Q3" s="28"/>
      <c r="R3" s="28"/>
      <c r="S3" s="28"/>
      <c r="T3" s="28"/>
      <c r="U3" s="28"/>
      <c r="V3" s="28"/>
      <c r="W3" s="28"/>
      <c r="X3" s="28"/>
      <c r="Y3" s="28"/>
      <c r="Z3" s="28"/>
      <c r="AA3" s="28"/>
      <c r="AB3" s="28"/>
      <c r="AC3" s="28"/>
      <c r="AD3" s="28"/>
      <c r="AE3" s="28"/>
      <c r="AF3" s="28"/>
    </row>
    <row r="4" spans="1:32" ht="15" thickBot="1">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32" s="30" customFormat="1" ht="29.15" customHeight="1">
      <c r="A5" s="608" t="s">
        <v>212</v>
      </c>
      <c r="B5" s="609"/>
      <c r="C5" s="609"/>
      <c r="D5" s="609"/>
      <c r="E5" s="609"/>
      <c r="F5" s="609"/>
      <c r="G5" s="609"/>
      <c r="H5" s="609"/>
      <c r="I5" s="609"/>
      <c r="J5" s="609"/>
      <c r="K5" s="609"/>
      <c r="L5" s="610"/>
      <c r="M5" s="614" t="s">
        <v>214</v>
      </c>
      <c r="N5" s="615"/>
      <c r="O5" s="618" t="s">
        <v>220</v>
      </c>
      <c r="P5" s="619"/>
      <c r="Q5" s="619"/>
      <c r="R5" s="620"/>
      <c r="S5" s="584" t="s">
        <v>351</v>
      </c>
      <c r="T5" s="585"/>
      <c r="U5" s="585"/>
      <c r="V5" s="585"/>
      <c r="W5" s="585"/>
      <c r="X5" s="585"/>
      <c r="Y5" s="585"/>
      <c r="Z5" s="585"/>
      <c r="AA5" s="585"/>
      <c r="AB5" s="586"/>
      <c r="AC5" s="132"/>
      <c r="AD5" s="132"/>
      <c r="AE5" s="132"/>
      <c r="AF5" s="132"/>
    </row>
    <row r="6" spans="1:32" s="30" customFormat="1" ht="16" customHeight="1">
      <c r="A6" s="611"/>
      <c r="B6" s="612"/>
      <c r="C6" s="612"/>
      <c r="D6" s="612"/>
      <c r="E6" s="612"/>
      <c r="F6" s="612"/>
      <c r="G6" s="612"/>
      <c r="H6" s="612"/>
      <c r="I6" s="612"/>
      <c r="J6" s="612"/>
      <c r="K6" s="612"/>
      <c r="L6" s="613"/>
      <c r="M6" s="616"/>
      <c r="N6" s="617"/>
      <c r="O6" s="621"/>
      <c r="P6" s="622"/>
      <c r="Q6" s="622"/>
      <c r="R6" s="623"/>
      <c r="S6" s="624" t="s">
        <v>341</v>
      </c>
      <c r="T6" s="625"/>
      <c r="U6" s="625"/>
      <c r="V6" s="625"/>
      <c r="W6" s="625"/>
      <c r="X6" s="625"/>
      <c r="Y6" s="625"/>
      <c r="Z6" s="625"/>
      <c r="AA6" s="625"/>
      <c r="AB6" s="626"/>
      <c r="AC6" s="132"/>
      <c r="AD6" s="132"/>
      <c r="AE6" s="132"/>
      <c r="AF6" s="132"/>
    </row>
    <row r="7" spans="1:32" s="128" customFormat="1" ht="37.5" customHeight="1">
      <c r="A7" s="587" t="s">
        <v>29</v>
      </c>
      <c r="B7" s="605" t="s">
        <v>497</v>
      </c>
      <c r="C7" s="606"/>
      <c r="D7" s="606"/>
      <c r="E7" s="606"/>
      <c r="F7" s="607"/>
      <c r="G7" s="590" t="s">
        <v>316</v>
      </c>
      <c r="H7" s="390" t="s">
        <v>357</v>
      </c>
      <c r="I7" s="390"/>
      <c r="J7" s="590" t="s">
        <v>217</v>
      </c>
      <c r="K7" s="630" t="s">
        <v>213</v>
      </c>
      <c r="L7" s="631"/>
      <c r="M7" s="434" t="s">
        <v>53</v>
      </c>
      <c r="N7" s="434" t="s">
        <v>120</v>
      </c>
      <c r="O7" s="627" t="s">
        <v>219</v>
      </c>
      <c r="P7" s="627" t="s">
        <v>215</v>
      </c>
      <c r="Q7" s="627" t="s">
        <v>216</v>
      </c>
      <c r="R7" s="627" t="s">
        <v>218</v>
      </c>
      <c r="S7" s="144" t="s">
        <v>269</v>
      </c>
      <c r="T7" s="158" t="s">
        <v>352</v>
      </c>
      <c r="U7" s="597" t="s">
        <v>347</v>
      </c>
      <c r="V7" s="598"/>
      <c r="W7" s="599"/>
      <c r="X7" s="597" t="s">
        <v>348</v>
      </c>
      <c r="Y7" s="598"/>
      <c r="Z7" s="599"/>
      <c r="AA7" s="294" t="s">
        <v>355</v>
      </c>
      <c r="AB7" s="634" t="s">
        <v>437</v>
      </c>
      <c r="AC7" s="127"/>
      <c r="AD7" s="127"/>
      <c r="AE7" s="127"/>
      <c r="AF7" s="127"/>
    </row>
    <row r="8" spans="1:32" s="128" customFormat="1" ht="16" customHeight="1">
      <c r="A8" s="588"/>
      <c r="B8" s="157" t="s">
        <v>356</v>
      </c>
      <c r="C8" s="4" t="s">
        <v>314</v>
      </c>
      <c r="D8" s="390" t="s">
        <v>345</v>
      </c>
      <c r="E8" s="390" t="s">
        <v>343</v>
      </c>
      <c r="F8" s="390" t="s">
        <v>344</v>
      </c>
      <c r="G8" s="591"/>
      <c r="H8" s="414" t="s">
        <v>358</v>
      </c>
      <c r="I8" s="415"/>
      <c r="J8" s="591"/>
      <c r="K8" s="632"/>
      <c r="L8" s="633"/>
      <c r="M8" s="570"/>
      <c r="N8" s="570"/>
      <c r="O8" s="628"/>
      <c r="P8" s="628"/>
      <c r="Q8" s="628"/>
      <c r="R8" s="628"/>
      <c r="S8" s="593" t="s">
        <v>350</v>
      </c>
      <c r="T8" s="595" t="s">
        <v>353</v>
      </c>
      <c r="U8" s="600"/>
      <c r="V8" s="601"/>
      <c r="W8" s="602"/>
      <c r="X8" s="600"/>
      <c r="Y8" s="601"/>
      <c r="Z8" s="602"/>
      <c r="AA8" s="595" t="s">
        <v>354</v>
      </c>
      <c r="AB8" s="635"/>
      <c r="AC8" s="127"/>
      <c r="AD8" s="127"/>
      <c r="AE8" s="127"/>
      <c r="AF8" s="127"/>
    </row>
    <row r="9" spans="1:32" s="128" customFormat="1" ht="63.75" customHeight="1">
      <c r="A9" s="589"/>
      <c r="B9" s="130" t="s">
        <v>338</v>
      </c>
      <c r="C9" s="156" t="s">
        <v>498</v>
      </c>
      <c r="D9" s="390"/>
      <c r="E9" s="390"/>
      <c r="F9" s="390"/>
      <c r="G9" s="592"/>
      <c r="H9" s="4" t="s">
        <v>254</v>
      </c>
      <c r="I9" s="152" t="s">
        <v>339</v>
      </c>
      <c r="J9" s="592"/>
      <c r="K9" s="4" t="s">
        <v>168</v>
      </c>
      <c r="L9" s="4" t="s">
        <v>340</v>
      </c>
      <c r="M9" s="435"/>
      <c r="N9" s="435"/>
      <c r="O9" s="629"/>
      <c r="P9" s="629"/>
      <c r="Q9" s="629"/>
      <c r="R9" s="629"/>
      <c r="S9" s="594"/>
      <c r="T9" s="596"/>
      <c r="U9" s="291" t="s">
        <v>435</v>
      </c>
      <c r="V9" s="291" t="s">
        <v>349</v>
      </c>
      <c r="W9" s="291" t="s">
        <v>499</v>
      </c>
      <c r="X9" s="291" t="s">
        <v>500</v>
      </c>
      <c r="Y9" s="291" t="s">
        <v>349</v>
      </c>
      <c r="Z9" s="254" t="s">
        <v>436</v>
      </c>
      <c r="AA9" s="596"/>
      <c r="AB9" s="636"/>
      <c r="AC9" s="127"/>
      <c r="AD9" s="127"/>
      <c r="AE9" s="127"/>
      <c r="AF9" s="127"/>
    </row>
    <row r="10" spans="1:32">
      <c r="A10" s="52">
        <v>1</v>
      </c>
      <c r="B10" s="16"/>
      <c r="C10" s="16"/>
      <c r="D10" s="16"/>
      <c r="E10" s="16"/>
      <c r="F10" s="16"/>
      <c r="G10" s="16"/>
      <c r="H10" s="16"/>
      <c r="I10" s="16"/>
      <c r="J10" s="16"/>
      <c r="K10" s="16"/>
      <c r="L10" s="16"/>
      <c r="M10" s="16"/>
      <c r="N10" s="16"/>
      <c r="O10" s="16"/>
      <c r="P10" s="16"/>
      <c r="Q10" s="16"/>
      <c r="R10" s="16"/>
      <c r="S10" s="16"/>
      <c r="T10" s="16"/>
      <c r="U10" s="16"/>
      <c r="V10" s="16"/>
      <c r="W10" s="20"/>
      <c r="X10" s="20"/>
      <c r="Y10" s="20"/>
      <c r="Z10" s="115"/>
      <c r="AA10" s="115"/>
      <c r="AB10" s="153">
        <f t="shared" ref="AB10:AB59" si="0">W10+Y10</f>
        <v>0</v>
      </c>
      <c r="AC10" s="28"/>
      <c r="AD10" s="28"/>
      <c r="AE10" s="28"/>
      <c r="AF10" s="28"/>
    </row>
    <row r="11" spans="1:32">
      <c r="A11" s="52">
        <v>2</v>
      </c>
      <c r="B11" s="16"/>
      <c r="C11" s="16"/>
      <c r="D11" s="16"/>
      <c r="E11" s="16"/>
      <c r="F11" s="16"/>
      <c r="G11" s="16"/>
      <c r="H11" s="16"/>
      <c r="I11" s="16"/>
      <c r="J11" s="16"/>
      <c r="K11" s="16"/>
      <c r="L11" s="16"/>
      <c r="M11" s="16"/>
      <c r="N11" s="16"/>
      <c r="O11" s="16"/>
      <c r="P11" s="16"/>
      <c r="Q11" s="16"/>
      <c r="R11" s="16"/>
      <c r="S11" s="16"/>
      <c r="T11" s="16"/>
      <c r="U11" s="16"/>
      <c r="V11" s="16"/>
      <c r="W11" s="20"/>
      <c r="X11" s="20"/>
      <c r="Y11" s="20"/>
      <c r="Z11" s="115"/>
      <c r="AA11" s="115"/>
      <c r="AB11" s="153">
        <f t="shared" si="0"/>
        <v>0</v>
      </c>
      <c r="AC11" s="28"/>
      <c r="AD11" s="28"/>
      <c r="AE11" s="28"/>
      <c r="AF11" s="28"/>
    </row>
    <row r="12" spans="1:32" ht="15" customHeight="1">
      <c r="A12" s="52">
        <v>3</v>
      </c>
      <c r="B12" s="16"/>
      <c r="C12" s="16"/>
      <c r="D12" s="16"/>
      <c r="E12" s="16"/>
      <c r="F12" s="16"/>
      <c r="G12" s="16"/>
      <c r="H12" s="16"/>
      <c r="I12" s="16"/>
      <c r="J12" s="16"/>
      <c r="K12" s="16"/>
      <c r="L12" s="16"/>
      <c r="M12" s="16"/>
      <c r="N12" s="16"/>
      <c r="O12" s="16"/>
      <c r="P12" s="16"/>
      <c r="Q12" s="16"/>
      <c r="R12" s="16"/>
      <c r="S12" s="16"/>
      <c r="T12" s="16"/>
      <c r="U12" s="16"/>
      <c r="V12" s="16"/>
      <c r="W12" s="20"/>
      <c r="X12" s="20"/>
      <c r="Y12" s="20"/>
      <c r="Z12" s="115"/>
      <c r="AA12" s="115"/>
      <c r="AB12" s="153">
        <f t="shared" si="0"/>
        <v>0</v>
      </c>
      <c r="AC12" s="28"/>
      <c r="AD12" s="28"/>
      <c r="AE12" s="28"/>
      <c r="AF12" s="28"/>
    </row>
    <row r="13" spans="1:32">
      <c r="A13" s="52">
        <v>4</v>
      </c>
      <c r="B13" s="16"/>
      <c r="C13" s="16"/>
      <c r="D13" s="16"/>
      <c r="E13" s="16"/>
      <c r="F13" s="16"/>
      <c r="G13" s="16"/>
      <c r="H13" s="16"/>
      <c r="I13" s="16"/>
      <c r="J13" s="16"/>
      <c r="K13" s="16"/>
      <c r="L13" s="16"/>
      <c r="M13" s="16"/>
      <c r="N13" s="16"/>
      <c r="O13" s="16"/>
      <c r="P13" s="16"/>
      <c r="Q13" s="16"/>
      <c r="R13" s="16"/>
      <c r="S13" s="16"/>
      <c r="T13" s="16"/>
      <c r="U13" s="16"/>
      <c r="V13" s="16"/>
      <c r="W13" s="20"/>
      <c r="X13" s="20"/>
      <c r="Y13" s="20"/>
      <c r="Z13" s="115"/>
      <c r="AA13" s="115"/>
      <c r="AB13" s="153">
        <f t="shared" si="0"/>
        <v>0</v>
      </c>
      <c r="AC13" s="28"/>
      <c r="AD13" s="28"/>
      <c r="AE13" s="28"/>
      <c r="AF13" s="28"/>
    </row>
    <row r="14" spans="1:32">
      <c r="A14" s="52">
        <v>5</v>
      </c>
      <c r="B14" s="16"/>
      <c r="C14" s="16"/>
      <c r="D14" s="16"/>
      <c r="E14" s="16"/>
      <c r="F14" s="16"/>
      <c r="G14" s="16"/>
      <c r="H14" s="16"/>
      <c r="I14" s="16"/>
      <c r="J14" s="16"/>
      <c r="K14" s="16"/>
      <c r="L14" s="16"/>
      <c r="M14" s="16"/>
      <c r="N14" s="16"/>
      <c r="O14" s="16"/>
      <c r="P14" s="16"/>
      <c r="Q14" s="16"/>
      <c r="R14" s="16"/>
      <c r="S14" s="16"/>
      <c r="T14" s="16"/>
      <c r="U14" s="16"/>
      <c r="V14" s="16"/>
      <c r="W14" s="20"/>
      <c r="X14" s="20"/>
      <c r="Y14" s="20"/>
      <c r="Z14" s="115"/>
      <c r="AA14" s="115"/>
      <c r="AB14" s="153">
        <f t="shared" si="0"/>
        <v>0</v>
      </c>
      <c r="AC14" s="28"/>
      <c r="AD14" s="28"/>
      <c r="AE14" s="28"/>
      <c r="AF14" s="28"/>
    </row>
    <row r="15" spans="1:32">
      <c r="A15" s="52">
        <v>6</v>
      </c>
      <c r="B15" s="16"/>
      <c r="C15" s="16"/>
      <c r="D15" s="16"/>
      <c r="E15" s="16"/>
      <c r="F15" s="16"/>
      <c r="G15" s="16"/>
      <c r="H15" s="16"/>
      <c r="I15" s="16"/>
      <c r="J15" s="16"/>
      <c r="K15" s="16"/>
      <c r="L15" s="16"/>
      <c r="M15" s="16"/>
      <c r="N15" s="16"/>
      <c r="O15" s="16"/>
      <c r="P15" s="16"/>
      <c r="Q15" s="16"/>
      <c r="R15" s="16"/>
      <c r="S15" s="16"/>
      <c r="T15" s="16"/>
      <c r="U15" s="16"/>
      <c r="V15" s="16"/>
      <c r="W15" s="20"/>
      <c r="X15" s="20"/>
      <c r="Y15" s="20"/>
      <c r="Z15" s="115"/>
      <c r="AA15" s="115"/>
      <c r="AB15" s="153">
        <f t="shared" si="0"/>
        <v>0</v>
      </c>
      <c r="AC15" s="28"/>
      <c r="AD15" s="28"/>
      <c r="AE15" s="28"/>
      <c r="AF15" s="28"/>
    </row>
    <row r="16" spans="1:32">
      <c r="A16" s="52">
        <v>7</v>
      </c>
      <c r="B16" s="16"/>
      <c r="C16" s="16"/>
      <c r="D16" s="16"/>
      <c r="E16" s="16"/>
      <c r="F16" s="16"/>
      <c r="G16" s="16"/>
      <c r="H16" s="16"/>
      <c r="I16" s="16"/>
      <c r="J16" s="16"/>
      <c r="K16" s="16"/>
      <c r="L16" s="16"/>
      <c r="M16" s="16"/>
      <c r="N16" s="16"/>
      <c r="O16" s="16"/>
      <c r="P16" s="16"/>
      <c r="Q16" s="16"/>
      <c r="R16" s="16"/>
      <c r="S16" s="16"/>
      <c r="T16" s="16"/>
      <c r="U16" s="16"/>
      <c r="V16" s="16"/>
      <c r="W16" s="20"/>
      <c r="X16" s="20"/>
      <c r="Y16" s="20"/>
      <c r="Z16" s="115"/>
      <c r="AA16" s="115"/>
      <c r="AB16" s="153">
        <f t="shared" si="0"/>
        <v>0</v>
      </c>
      <c r="AC16" s="28"/>
      <c r="AD16" s="28"/>
      <c r="AE16" s="28"/>
      <c r="AF16" s="28"/>
    </row>
    <row r="17" spans="1:32">
      <c r="A17" s="52">
        <v>8</v>
      </c>
      <c r="B17" s="16"/>
      <c r="C17" s="16"/>
      <c r="D17" s="16"/>
      <c r="E17" s="16"/>
      <c r="F17" s="16"/>
      <c r="G17" s="16"/>
      <c r="H17" s="16"/>
      <c r="I17" s="16"/>
      <c r="J17" s="16"/>
      <c r="K17" s="16"/>
      <c r="L17" s="16"/>
      <c r="M17" s="16"/>
      <c r="N17" s="16"/>
      <c r="O17" s="16"/>
      <c r="P17" s="16"/>
      <c r="Q17" s="16"/>
      <c r="R17" s="16"/>
      <c r="S17" s="16"/>
      <c r="T17" s="16"/>
      <c r="U17" s="16"/>
      <c r="V17" s="16"/>
      <c r="W17" s="20"/>
      <c r="X17" s="20"/>
      <c r="Y17" s="20"/>
      <c r="Z17" s="115"/>
      <c r="AA17" s="115"/>
      <c r="AB17" s="153">
        <f t="shared" si="0"/>
        <v>0</v>
      </c>
      <c r="AC17" s="28"/>
      <c r="AD17" s="28"/>
      <c r="AE17" s="28"/>
      <c r="AF17" s="28"/>
    </row>
    <row r="18" spans="1:32">
      <c r="A18" s="52">
        <v>9</v>
      </c>
      <c r="B18" s="16"/>
      <c r="C18" s="16"/>
      <c r="D18" s="16"/>
      <c r="E18" s="16"/>
      <c r="F18" s="16"/>
      <c r="G18" s="16"/>
      <c r="H18" s="16"/>
      <c r="I18" s="16"/>
      <c r="J18" s="16"/>
      <c r="K18" s="16"/>
      <c r="L18" s="16"/>
      <c r="M18" s="16"/>
      <c r="N18" s="16"/>
      <c r="O18" s="16"/>
      <c r="P18" s="16"/>
      <c r="Q18" s="16"/>
      <c r="R18" s="16"/>
      <c r="S18" s="16"/>
      <c r="T18" s="16"/>
      <c r="U18" s="16"/>
      <c r="V18" s="16"/>
      <c r="W18" s="20"/>
      <c r="X18" s="20"/>
      <c r="Y18" s="20"/>
      <c r="Z18" s="115"/>
      <c r="AA18" s="115"/>
      <c r="AB18" s="153">
        <f t="shared" si="0"/>
        <v>0</v>
      </c>
      <c r="AC18" s="28"/>
      <c r="AD18" s="28"/>
      <c r="AE18" s="28"/>
      <c r="AF18" s="28"/>
    </row>
    <row r="19" spans="1:32">
      <c r="A19" s="52">
        <v>10</v>
      </c>
      <c r="B19" s="16"/>
      <c r="C19" s="16"/>
      <c r="D19" s="16"/>
      <c r="E19" s="16"/>
      <c r="F19" s="16"/>
      <c r="G19" s="16"/>
      <c r="H19" s="16"/>
      <c r="I19" s="16"/>
      <c r="J19" s="16"/>
      <c r="K19" s="16"/>
      <c r="L19" s="16"/>
      <c r="M19" s="16"/>
      <c r="N19" s="16"/>
      <c r="O19" s="16"/>
      <c r="P19" s="16"/>
      <c r="Q19" s="16"/>
      <c r="R19" s="16"/>
      <c r="S19" s="16"/>
      <c r="T19" s="16"/>
      <c r="U19" s="16"/>
      <c r="V19" s="16"/>
      <c r="W19" s="20"/>
      <c r="X19" s="20"/>
      <c r="Y19" s="20"/>
      <c r="Z19" s="115"/>
      <c r="AA19" s="115"/>
      <c r="AB19" s="153">
        <f t="shared" si="0"/>
        <v>0</v>
      </c>
      <c r="AC19" s="28"/>
      <c r="AD19" s="28"/>
      <c r="AE19" s="28"/>
      <c r="AF19" s="28"/>
    </row>
    <row r="20" spans="1:32">
      <c r="A20" s="52">
        <v>11</v>
      </c>
      <c r="B20" s="16"/>
      <c r="C20" s="16"/>
      <c r="D20" s="16"/>
      <c r="E20" s="16"/>
      <c r="F20" s="16"/>
      <c r="G20" s="16"/>
      <c r="H20" s="16"/>
      <c r="I20" s="16"/>
      <c r="J20" s="16"/>
      <c r="K20" s="16"/>
      <c r="L20" s="16"/>
      <c r="M20" s="16"/>
      <c r="N20" s="16"/>
      <c r="O20" s="16"/>
      <c r="P20" s="16"/>
      <c r="Q20" s="16"/>
      <c r="R20" s="16"/>
      <c r="S20" s="16"/>
      <c r="T20" s="16"/>
      <c r="U20" s="16"/>
      <c r="V20" s="16"/>
      <c r="W20" s="20"/>
      <c r="X20" s="20"/>
      <c r="Y20" s="20"/>
      <c r="Z20" s="115"/>
      <c r="AA20" s="115"/>
      <c r="AB20" s="153">
        <f t="shared" si="0"/>
        <v>0</v>
      </c>
      <c r="AC20" s="28"/>
      <c r="AD20" s="28"/>
      <c r="AE20" s="28"/>
      <c r="AF20" s="28"/>
    </row>
    <row r="21" spans="1:32">
      <c r="A21" s="52">
        <v>12</v>
      </c>
      <c r="B21" s="16"/>
      <c r="C21" s="16"/>
      <c r="D21" s="16"/>
      <c r="E21" s="16"/>
      <c r="F21" s="16"/>
      <c r="G21" s="16"/>
      <c r="H21" s="16"/>
      <c r="I21" s="16"/>
      <c r="J21" s="16"/>
      <c r="K21" s="16"/>
      <c r="L21" s="16"/>
      <c r="M21" s="16"/>
      <c r="N21" s="16"/>
      <c r="O21" s="16"/>
      <c r="P21" s="16"/>
      <c r="Q21" s="16"/>
      <c r="R21" s="16"/>
      <c r="S21" s="16"/>
      <c r="T21" s="16"/>
      <c r="U21" s="16"/>
      <c r="V21" s="16"/>
      <c r="W21" s="20"/>
      <c r="X21" s="20"/>
      <c r="Y21" s="20"/>
      <c r="Z21" s="115"/>
      <c r="AA21" s="115"/>
      <c r="AB21" s="153">
        <f t="shared" si="0"/>
        <v>0</v>
      </c>
      <c r="AC21" s="28"/>
      <c r="AD21" s="28"/>
      <c r="AE21" s="28"/>
      <c r="AF21" s="28"/>
    </row>
    <row r="22" spans="1:32">
      <c r="A22" s="52">
        <v>13</v>
      </c>
      <c r="B22" s="16"/>
      <c r="C22" s="16"/>
      <c r="D22" s="16"/>
      <c r="E22" s="16"/>
      <c r="F22" s="16"/>
      <c r="G22" s="16"/>
      <c r="H22" s="16"/>
      <c r="I22" s="16"/>
      <c r="J22" s="16"/>
      <c r="K22" s="16"/>
      <c r="L22" s="16"/>
      <c r="M22" s="16"/>
      <c r="N22" s="16"/>
      <c r="O22" s="16"/>
      <c r="P22" s="16"/>
      <c r="Q22" s="16"/>
      <c r="R22" s="16"/>
      <c r="S22" s="16"/>
      <c r="T22" s="16"/>
      <c r="U22" s="16"/>
      <c r="V22" s="16"/>
      <c r="W22" s="20"/>
      <c r="X22" s="20"/>
      <c r="Y22" s="20"/>
      <c r="Z22" s="115"/>
      <c r="AA22" s="115"/>
      <c r="AB22" s="153">
        <f t="shared" si="0"/>
        <v>0</v>
      </c>
      <c r="AC22" s="28"/>
      <c r="AD22" s="28"/>
      <c r="AE22" s="28"/>
      <c r="AF22" s="28"/>
    </row>
    <row r="23" spans="1:32">
      <c r="A23" s="52">
        <v>14</v>
      </c>
      <c r="B23" s="16"/>
      <c r="C23" s="16"/>
      <c r="D23" s="16"/>
      <c r="E23" s="16"/>
      <c r="F23" s="16"/>
      <c r="G23" s="16"/>
      <c r="H23" s="16"/>
      <c r="I23" s="16"/>
      <c r="J23" s="16"/>
      <c r="K23" s="16"/>
      <c r="L23" s="16"/>
      <c r="M23" s="16"/>
      <c r="N23" s="16"/>
      <c r="O23" s="16"/>
      <c r="P23" s="16"/>
      <c r="Q23" s="16"/>
      <c r="R23" s="16"/>
      <c r="S23" s="16"/>
      <c r="T23" s="16"/>
      <c r="U23" s="16"/>
      <c r="V23" s="16"/>
      <c r="W23" s="20"/>
      <c r="X23" s="20"/>
      <c r="Y23" s="20"/>
      <c r="Z23" s="115"/>
      <c r="AA23" s="115"/>
      <c r="AB23" s="153">
        <f t="shared" si="0"/>
        <v>0</v>
      </c>
      <c r="AC23" s="28"/>
      <c r="AD23" s="28"/>
      <c r="AE23" s="28"/>
      <c r="AF23" s="28"/>
    </row>
    <row r="24" spans="1:32">
      <c r="A24" s="52">
        <v>15</v>
      </c>
      <c r="B24" s="16"/>
      <c r="C24" s="16"/>
      <c r="D24" s="16"/>
      <c r="E24" s="16"/>
      <c r="F24" s="16"/>
      <c r="G24" s="16"/>
      <c r="H24" s="16"/>
      <c r="I24" s="16"/>
      <c r="J24" s="16"/>
      <c r="K24" s="16"/>
      <c r="L24" s="16"/>
      <c r="M24" s="16"/>
      <c r="N24" s="16"/>
      <c r="O24" s="16"/>
      <c r="P24" s="16"/>
      <c r="Q24" s="16"/>
      <c r="R24" s="16"/>
      <c r="S24" s="16"/>
      <c r="T24" s="16"/>
      <c r="U24" s="16"/>
      <c r="V24" s="16"/>
      <c r="W24" s="20"/>
      <c r="X24" s="20"/>
      <c r="Y24" s="20"/>
      <c r="Z24" s="115"/>
      <c r="AA24" s="115"/>
      <c r="AB24" s="153">
        <f t="shared" si="0"/>
        <v>0</v>
      </c>
      <c r="AC24" s="28"/>
      <c r="AD24" s="28"/>
      <c r="AE24" s="28"/>
      <c r="AF24" s="28"/>
    </row>
    <row r="25" spans="1:32">
      <c r="A25" s="52">
        <v>16</v>
      </c>
      <c r="B25" s="16"/>
      <c r="C25" s="16"/>
      <c r="D25" s="16"/>
      <c r="E25" s="16"/>
      <c r="F25" s="16"/>
      <c r="G25" s="16"/>
      <c r="H25" s="16"/>
      <c r="I25" s="16"/>
      <c r="J25" s="16"/>
      <c r="K25" s="16"/>
      <c r="L25" s="16"/>
      <c r="M25" s="16"/>
      <c r="N25" s="16"/>
      <c r="O25" s="16"/>
      <c r="P25" s="16"/>
      <c r="Q25" s="16"/>
      <c r="R25" s="16"/>
      <c r="S25" s="16"/>
      <c r="T25" s="16"/>
      <c r="U25" s="16"/>
      <c r="V25" s="16"/>
      <c r="W25" s="20"/>
      <c r="X25" s="20"/>
      <c r="Y25" s="20"/>
      <c r="Z25" s="115"/>
      <c r="AA25" s="115"/>
      <c r="AB25" s="153">
        <f t="shared" si="0"/>
        <v>0</v>
      </c>
      <c r="AC25" s="28"/>
      <c r="AD25" s="28"/>
      <c r="AE25" s="28"/>
      <c r="AF25" s="28"/>
    </row>
    <row r="26" spans="1:32">
      <c r="A26" s="52">
        <v>17</v>
      </c>
      <c r="B26" s="16"/>
      <c r="C26" s="16"/>
      <c r="D26" s="16"/>
      <c r="E26" s="16"/>
      <c r="F26" s="16"/>
      <c r="G26" s="16"/>
      <c r="H26" s="16"/>
      <c r="I26" s="16"/>
      <c r="J26" s="16"/>
      <c r="K26" s="16"/>
      <c r="L26" s="16"/>
      <c r="M26" s="16"/>
      <c r="N26" s="16"/>
      <c r="O26" s="16"/>
      <c r="P26" s="16"/>
      <c r="Q26" s="16"/>
      <c r="R26" s="16"/>
      <c r="S26" s="16"/>
      <c r="T26" s="16"/>
      <c r="U26" s="16"/>
      <c r="V26" s="16"/>
      <c r="W26" s="20"/>
      <c r="X26" s="20"/>
      <c r="Y26" s="20"/>
      <c r="Z26" s="115"/>
      <c r="AA26" s="115"/>
      <c r="AB26" s="153">
        <f t="shared" si="0"/>
        <v>0</v>
      </c>
      <c r="AC26" s="28"/>
      <c r="AD26" s="28"/>
      <c r="AE26" s="28"/>
      <c r="AF26" s="28"/>
    </row>
    <row r="27" spans="1:32">
      <c r="A27" s="52">
        <v>18</v>
      </c>
      <c r="B27" s="16"/>
      <c r="C27" s="16"/>
      <c r="D27" s="16"/>
      <c r="E27" s="16"/>
      <c r="F27" s="16"/>
      <c r="G27" s="16"/>
      <c r="H27" s="16"/>
      <c r="I27" s="16"/>
      <c r="J27" s="16"/>
      <c r="K27" s="16"/>
      <c r="L27" s="16"/>
      <c r="M27" s="16"/>
      <c r="N27" s="16"/>
      <c r="O27" s="16"/>
      <c r="P27" s="16"/>
      <c r="Q27" s="16"/>
      <c r="R27" s="16"/>
      <c r="S27" s="16"/>
      <c r="T27" s="16"/>
      <c r="U27" s="16"/>
      <c r="V27" s="16"/>
      <c r="W27" s="20"/>
      <c r="X27" s="20"/>
      <c r="Y27" s="20"/>
      <c r="Z27" s="115"/>
      <c r="AA27" s="115"/>
      <c r="AB27" s="153">
        <f t="shared" si="0"/>
        <v>0</v>
      </c>
      <c r="AC27" s="28"/>
      <c r="AD27" s="28"/>
      <c r="AE27" s="28"/>
      <c r="AF27" s="28"/>
    </row>
    <row r="28" spans="1:32">
      <c r="A28" s="52">
        <v>19</v>
      </c>
      <c r="B28" s="16"/>
      <c r="C28" s="16"/>
      <c r="D28" s="16"/>
      <c r="E28" s="16"/>
      <c r="F28" s="16"/>
      <c r="G28" s="16"/>
      <c r="H28" s="16"/>
      <c r="I28" s="16"/>
      <c r="J28" s="16"/>
      <c r="K28" s="16"/>
      <c r="L28" s="16"/>
      <c r="M28" s="16"/>
      <c r="N28" s="16"/>
      <c r="O28" s="16"/>
      <c r="P28" s="16"/>
      <c r="Q28" s="16"/>
      <c r="R28" s="16"/>
      <c r="S28" s="16"/>
      <c r="T28" s="16"/>
      <c r="U28" s="16"/>
      <c r="V28" s="16"/>
      <c r="W28" s="20"/>
      <c r="X28" s="20"/>
      <c r="Y28" s="20"/>
      <c r="Z28" s="115"/>
      <c r="AA28" s="115"/>
      <c r="AB28" s="153">
        <f t="shared" si="0"/>
        <v>0</v>
      </c>
      <c r="AC28" s="28"/>
      <c r="AD28" s="28"/>
      <c r="AE28" s="28"/>
      <c r="AF28" s="28"/>
    </row>
    <row r="29" spans="1:32">
      <c r="A29" s="52">
        <v>20</v>
      </c>
      <c r="B29" s="16"/>
      <c r="C29" s="16"/>
      <c r="D29" s="16"/>
      <c r="E29" s="16"/>
      <c r="F29" s="16"/>
      <c r="G29" s="16"/>
      <c r="H29" s="16"/>
      <c r="I29" s="16"/>
      <c r="J29" s="16"/>
      <c r="K29" s="16"/>
      <c r="L29" s="16"/>
      <c r="M29" s="16"/>
      <c r="N29" s="16"/>
      <c r="O29" s="16"/>
      <c r="P29" s="16"/>
      <c r="Q29" s="16"/>
      <c r="R29" s="16"/>
      <c r="S29" s="16"/>
      <c r="T29" s="16"/>
      <c r="U29" s="16"/>
      <c r="V29" s="16"/>
      <c r="W29" s="20"/>
      <c r="X29" s="20"/>
      <c r="Y29" s="20"/>
      <c r="Z29" s="115"/>
      <c r="AA29" s="115"/>
      <c r="AB29" s="153">
        <f t="shared" si="0"/>
        <v>0</v>
      </c>
      <c r="AC29" s="28"/>
      <c r="AD29" s="28"/>
      <c r="AE29" s="28"/>
      <c r="AF29" s="28"/>
    </row>
    <row r="30" spans="1:32">
      <c r="A30" s="52">
        <v>21</v>
      </c>
      <c r="B30" s="16"/>
      <c r="C30" s="16"/>
      <c r="D30" s="16"/>
      <c r="E30" s="16"/>
      <c r="F30" s="16"/>
      <c r="G30" s="16"/>
      <c r="H30" s="16"/>
      <c r="I30" s="16"/>
      <c r="J30" s="16"/>
      <c r="K30" s="16"/>
      <c r="L30" s="16"/>
      <c r="M30" s="16"/>
      <c r="N30" s="16"/>
      <c r="O30" s="16"/>
      <c r="P30" s="16"/>
      <c r="Q30" s="16"/>
      <c r="R30" s="16"/>
      <c r="S30" s="16"/>
      <c r="T30" s="16"/>
      <c r="U30" s="16"/>
      <c r="V30" s="16"/>
      <c r="W30" s="20"/>
      <c r="X30" s="20"/>
      <c r="Y30" s="20"/>
      <c r="Z30" s="115"/>
      <c r="AA30" s="115"/>
      <c r="AB30" s="153">
        <f t="shared" si="0"/>
        <v>0</v>
      </c>
      <c r="AC30" s="28"/>
      <c r="AD30" s="28"/>
      <c r="AE30" s="28"/>
      <c r="AF30" s="28"/>
    </row>
    <row r="31" spans="1:32">
      <c r="A31" s="52">
        <v>22</v>
      </c>
      <c r="B31" s="16"/>
      <c r="C31" s="16"/>
      <c r="D31" s="16"/>
      <c r="E31" s="16"/>
      <c r="F31" s="16"/>
      <c r="G31" s="16"/>
      <c r="H31" s="16"/>
      <c r="I31" s="16"/>
      <c r="J31" s="16"/>
      <c r="K31" s="16"/>
      <c r="L31" s="16"/>
      <c r="M31" s="16"/>
      <c r="N31" s="16"/>
      <c r="O31" s="16"/>
      <c r="P31" s="16"/>
      <c r="Q31" s="16"/>
      <c r="R31" s="16"/>
      <c r="S31" s="16"/>
      <c r="T31" s="16"/>
      <c r="U31" s="16"/>
      <c r="V31" s="16"/>
      <c r="W31" s="20"/>
      <c r="X31" s="20"/>
      <c r="Y31" s="20"/>
      <c r="Z31" s="115"/>
      <c r="AA31" s="115"/>
      <c r="AB31" s="153">
        <f t="shared" si="0"/>
        <v>0</v>
      </c>
      <c r="AC31" s="28"/>
      <c r="AD31" s="28"/>
      <c r="AE31" s="28"/>
      <c r="AF31" s="28"/>
    </row>
    <row r="32" spans="1:32">
      <c r="A32" s="52">
        <v>23</v>
      </c>
      <c r="B32" s="16"/>
      <c r="C32" s="16"/>
      <c r="D32" s="16"/>
      <c r="E32" s="16"/>
      <c r="F32" s="16"/>
      <c r="G32" s="16"/>
      <c r="H32" s="16"/>
      <c r="I32" s="16"/>
      <c r="J32" s="16"/>
      <c r="K32" s="16"/>
      <c r="L32" s="16"/>
      <c r="M32" s="16"/>
      <c r="N32" s="16"/>
      <c r="O32" s="16"/>
      <c r="P32" s="16"/>
      <c r="Q32" s="16"/>
      <c r="R32" s="16"/>
      <c r="S32" s="16"/>
      <c r="T32" s="16"/>
      <c r="U32" s="16"/>
      <c r="V32" s="16"/>
      <c r="W32" s="20"/>
      <c r="X32" s="20"/>
      <c r="Y32" s="20"/>
      <c r="Z32" s="115"/>
      <c r="AA32" s="115"/>
      <c r="AB32" s="153">
        <f t="shared" si="0"/>
        <v>0</v>
      </c>
      <c r="AC32" s="28"/>
      <c r="AD32" s="28"/>
      <c r="AE32" s="28"/>
      <c r="AF32" s="28"/>
    </row>
    <row r="33" spans="1:32">
      <c r="A33" s="52">
        <v>24</v>
      </c>
      <c r="B33" s="16"/>
      <c r="C33" s="16"/>
      <c r="D33" s="16"/>
      <c r="E33" s="16"/>
      <c r="F33" s="16"/>
      <c r="G33" s="16"/>
      <c r="H33" s="16"/>
      <c r="I33" s="16"/>
      <c r="J33" s="16"/>
      <c r="K33" s="16"/>
      <c r="L33" s="16"/>
      <c r="M33" s="16"/>
      <c r="N33" s="16"/>
      <c r="O33" s="16"/>
      <c r="P33" s="16"/>
      <c r="Q33" s="16"/>
      <c r="R33" s="16"/>
      <c r="S33" s="16"/>
      <c r="T33" s="16"/>
      <c r="U33" s="16"/>
      <c r="V33" s="16"/>
      <c r="W33" s="20"/>
      <c r="X33" s="20"/>
      <c r="Y33" s="20"/>
      <c r="Z33" s="115"/>
      <c r="AA33" s="115"/>
      <c r="AB33" s="153">
        <f t="shared" si="0"/>
        <v>0</v>
      </c>
      <c r="AC33" s="28"/>
      <c r="AD33" s="28"/>
      <c r="AE33" s="28"/>
      <c r="AF33" s="28"/>
    </row>
    <row r="34" spans="1:32">
      <c r="A34" s="52">
        <v>25</v>
      </c>
      <c r="B34" s="16"/>
      <c r="C34" s="16"/>
      <c r="D34" s="16"/>
      <c r="E34" s="16"/>
      <c r="F34" s="16"/>
      <c r="G34" s="16"/>
      <c r="H34" s="16"/>
      <c r="I34" s="16"/>
      <c r="J34" s="16"/>
      <c r="K34" s="16"/>
      <c r="L34" s="16"/>
      <c r="M34" s="16"/>
      <c r="N34" s="16"/>
      <c r="O34" s="16"/>
      <c r="P34" s="16"/>
      <c r="Q34" s="16"/>
      <c r="R34" s="16"/>
      <c r="S34" s="16"/>
      <c r="T34" s="16"/>
      <c r="U34" s="16"/>
      <c r="V34" s="16"/>
      <c r="W34" s="20"/>
      <c r="X34" s="20"/>
      <c r="Y34" s="20"/>
      <c r="Z34" s="115"/>
      <c r="AA34" s="115"/>
      <c r="AB34" s="153">
        <f t="shared" si="0"/>
        <v>0</v>
      </c>
      <c r="AC34" s="28"/>
      <c r="AD34" s="28"/>
      <c r="AE34" s="28"/>
      <c r="AF34" s="28"/>
    </row>
    <row r="35" spans="1:32">
      <c r="A35" s="52">
        <v>26</v>
      </c>
      <c r="B35" s="16"/>
      <c r="C35" s="16"/>
      <c r="D35" s="16"/>
      <c r="E35" s="16"/>
      <c r="F35" s="16"/>
      <c r="G35" s="16"/>
      <c r="H35" s="16"/>
      <c r="I35" s="16"/>
      <c r="J35" s="16"/>
      <c r="K35" s="16"/>
      <c r="L35" s="16"/>
      <c r="M35" s="16"/>
      <c r="N35" s="16"/>
      <c r="O35" s="16"/>
      <c r="P35" s="16"/>
      <c r="Q35" s="16"/>
      <c r="R35" s="16"/>
      <c r="S35" s="16"/>
      <c r="T35" s="16"/>
      <c r="U35" s="16"/>
      <c r="V35" s="16"/>
      <c r="W35" s="20"/>
      <c r="X35" s="20"/>
      <c r="Y35" s="20"/>
      <c r="Z35" s="115"/>
      <c r="AA35" s="115"/>
      <c r="AB35" s="153">
        <f t="shared" si="0"/>
        <v>0</v>
      </c>
      <c r="AC35" s="28"/>
      <c r="AD35" s="28"/>
      <c r="AE35" s="28"/>
      <c r="AF35" s="28"/>
    </row>
    <row r="36" spans="1:32">
      <c r="A36" s="52">
        <v>27</v>
      </c>
      <c r="B36" s="16"/>
      <c r="C36" s="16"/>
      <c r="D36" s="16"/>
      <c r="E36" s="16"/>
      <c r="F36" s="16"/>
      <c r="G36" s="16"/>
      <c r="H36" s="16"/>
      <c r="I36" s="16"/>
      <c r="J36" s="16"/>
      <c r="K36" s="16"/>
      <c r="L36" s="16"/>
      <c r="M36" s="16"/>
      <c r="N36" s="16"/>
      <c r="O36" s="16"/>
      <c r="P36" s="16"/>
      <c r="Q36" s="16"/>
      <c r="R36" s="16"/>
      <c r="S36" s="16"/>
      <c r="T36" s="16"/>
      <c r="U36" s="16"/>
      <c r="V36" s="16"/>
      <c r="W36" s="20"/>
      <c r="X36" s="20"/>
      <c r="Y36" s="20"/>
      <c r="Z36" s="115"/>
      <c r="AA36" s="115"/>
      <c r="AB36" s="153">
        <f t="shared" si="0"/>
        <v>0</v>
      </c>
      <c r="AC36" s="28"/>
      <c r="AD36" s="28"/>
      <c r="AE36" s="28"/>
      <c r="AF36" s="28"/>
    </row>
    <row r="37" spans="1:32">
      <c r="A37" s="52">
        <v>28</v>
      </c>
      <c r="B37" s="16"/>
      <c r="C37" s="16"/>
      <c r="D37" s="16"/>
      <c r="E37" s="16"/>
      <c r="F37" s="16"/>
      <c r="G37" s="16"/>
      <c r="H37" s="16"/>
      <c r="I37" s="16"/>
      <c r="J37" s="16"/>
      <c r="K37" s="16"/>
      <c r="L37" s="16"/>
      <c r="M37" s="16"/>
      <c r="N37" s="16"/>
      <c r="O37" s="16"/>
      <c r="P37" s="16"/>
      <c r="Q37" s="16"/>
      <c r="R37" s="16"/>
      <c r="S37" s="16"/>
      <c r="T37" s="16"/>
      <c r="U37" s="16"/>
      <c r="V37" s="16"/>
      <c r="W37" s="20"/>
      <c r="X37" s="20"/>
      <c r="Y37" s="20"/>
      <c r="Z37" s="115"/>
      <c r="AA37" s="115"/>
      <c r="AB37" s="153">
        <f t="shared" si="0"/>
        <v>0</v>
      </c>
      <c r="AC37" s="28"/>
      <c r="AD37" s="28"/>
      <c r="AE37" s="28"/>
      <c r="AF37" s="28"/>
    </row>
    <row r="38" spans="1:32">
      <c r="A38" s="52">
        <v>29</v>
      </c>
      <c r="B38" s="16"/>
      <c r="C38" s="16"/>
      <c r="D38" s="16"/>
      <c r="E38" s="16"/>
      <c r="F38" s="16"/>
      <c r="G38" s="16"/>
      <c r="H38" s="16"/>
      <c r="I38" s="16"/>
      <c r="J38" s="16"/>
      <c r="K38" s="16"/>
      <c r="L38" s="16"/>
      <c r="M38" s="16"/>
      <c r="N38" s="16"/>
      <c r="O38" s="16"/>
      <c r="P38" s="16"/>
      <c r="Q38" s="16"/>
      <c r="R38" s="16"/>
      <c r="S38" s="16"/>
      <c r="T38" s="16"/>
      <c r="U38" s="16"/>
      <c r="V38" s="16"/>
      <c r="W38" s="20"/>
      <c r="X38" s="20"/>
      <c r="Y38" s="20"/>
      <c r="Z38" s="115"/>
      <c r="AA38" s="115"/>
      <c r="AB38" s="153">
        <f t="shared" si="0"/>
        <v>0</v>
      </c>
      <c r="AC38" s="28"/>
      <c r="AD38" s="28"/>
      <c r="AE38" s="28"/>
      <c r="AF38" s="28"/>
    </row>
    <row r="39" spans="1:32">
      <c r="A39" s="52">
        <v>30</v>
      </c>
      <c r="B39" s="16"/>
      <c r="C39" s="16"/>
      <c r="D39" s="16"/>
      <c r="E39" s="16"/>
      <c r="F39" s="16"/>
      <c r="G39" s="16"/>
      <c r="H39" s="16"/>
      <c r="I39" s="16"/>
      <c r="J39" s="16"/>
      <c r="K39" s="16"/>
      <c r="L39" s="16"/>
      <c r="M39" s="16"/>
      <c r="N39" s="16"/>
      <c r="O39" s="16"/>
      <c r="P39" s="16"/>
      <c r="Q39" s="16"/>
      <c r="R39" s="16"/>
      <c r="S39" s="16"/>
      <c r="T39" s="16"/>
      <c r="U39" s="16"/>
      <c r="V39" s="16"/>
      <c r="W39" s="20"/>
      <c r="X39" s="20"/>
      <c r="Y39" s="20"/>
      <c r="Z39" s="115"/>
      <c r="AA39" s="115"/>
      <c r="AB39" s="153">
        <f t="shared" si="0"/>
        <v>0</v>
      </c>
      <c r="AC39" s="28"/>
      <c r="AD39" s="28"/>
      <c r="AE39" s="28"/>
      <c r="AF39" s="28"/>
    </row>
    <row r="40" spans="1:32">
      <c r="A40" s="52">
        <v>31</v>
      </c>
      <c r="B40" s="16"/>
      <c r="C40" s="16"/>
      <c r="D40" s="16"/>
      <c r="E40" s="16"/>
      <c r="F40" s="16"/>
      <c r="G40" s="16"/>
      <c r="H40" s="16"/>
      <c r="I40" s="16"/>
      <c r="J40" s="16"/>
      <c r="K40" s="16"/>
      <c r="L40" s="16"/>
      <c r="M40" s="16"/>
      <c r="N40" s="16"/>
      <c r="O40" s="16"/>
      <c r="P40" s="16"/>
      <c r="Q40" s="16"/>
      <c r="R40" s="16"/>
      <c r="S40" s="16"/>
      <c r="T40" s="16"/>
      <c r="U40" s="16"/>
      <c r="V40" s="16"/>
      <c r="W40" s="20"/>
      <c r="X40" s="20"/>
      <c r="Y40" s="20"/>
      <c r="Z40" s="115"/>
      <c r="AA40" s="115"/>
      <c r="AB40" s="153">
        <f t="shared" si="0"/>
        <v>0</v>
      </c>
      <c r="AC40" s="28"/>
      <c r="AD40" s="28"/>
      <c r="AE40" s="28"/>
      <c r="AF40" s="28"/>
    </row>
    <row r="41" spans="1:32">
      <c r="A41" s="52">
        <v>32</v>
      </c>
      <c r="B41" s="16"/>
      <c r="C41" s="16"/>
      <c r="D41" s="16"/>
      <c r="E41" s="16"/>
      <c r="F41" s="16"/>
      <c r="G41" s="16"/>
      <c r="H41" s="16"/>
      <c r="I41" s="16"/>
      <c r="J41" s="16"/>
      <c r="K41" s="16"/>
      <c r="L41" s="16"/>
      <c r="M41" s="16"/>
      <c r="N41" s="16"/>
      <c r="O41" s="16"/>
      <c r="P41" s="16"/>
      <c r="Q41" s="16"/>
      <c r="R41" s="16"/>
      <c r="S41" s="16"/>
      <c r="T41" s="16"/>
      <c r="U41" s="16"/>
      <c r="V41" s="16"/>
      <c r="W41" s="20"/>
      <c r="X41" s="20"/>
      <c r="Y41" s="20"/>
      <c r="Z41" s="115"/>
      <c r="AA41" s="115"/>
      <c r="AB41" s="153">
        <f t="shared" si="0"/>
        <v>0</v>
      </c>
      <c r="AC41" s="28"/>
      <c r="AD41" s="28"/>
      <c r="AE41" s="28"/>
      <c r="AF41" s="28"/>
    </row>
    <row r="42" spans="1:32">
      <c r="A42" s="52">
        <v>33</v>
      </c>
      <c r="B42" s="16"/>
      <c r="C42" s="16"/>
      <c r="D42" s="16"/>
      <c r="E42" s="16"/>
      <c r="F42" s="16"/>
      <c r="G42" s="16"/>
      <c r="H42" s="16"/>
      <c r="I42" s="16"/>
      <c r="J42" s="16"/>
      <c r="K42" s="16"/>
      <c r="L42" s="16"/>
      <c r="M42" s="16"/>
      <c r="N42" s="16"/>
      <c r="O42" s="16"/>
      <c r="P42" s="16"/>
      <c r="Q42" s="16"/>
      <c r="R42" s="16"/>
      <c r="S42" s="16"/>
      <c r="T42" s="16"/>
      <c r="U42" s="16"/>
      <c r="V42" s="16"/>
      <c r="W42" s="20"/>
      <c r="X42" s="20"/>
      <c r="Y42" s="20"/>
      <c r="Z42" s="115"/>
      <c r="AA42" s="115"/>
      <c r="AB42" s="153">
        <f t="shared" si="0"/>
        <v>0</v>
      </c>
      <c r="AC42" s="28"/>
      <c r="AD42" s="28"/>
      <c r="AE42" s="28"/>
      <c r="AF42" s="28"/>
    </row>
    <row r="43" spans="1:32">
      <c r="A43" s="52">
        <v>34</v>
      </c>
      <c r="B43" s="16"/>
      <c r="C43" s="16"/>
      <c r="D43" s="16"/>
      <c r="E43" s="16"/>
      <c r="F43" s="16"/>
      <c r="G43" s="16"/>
      <c r="H43" s="16"/>
      <c r="I43" s="16"/>
      <c r="J43" s="16"/>
      <c r="K43" s="16"/>
      <c r="L43" s="16"/>
      <c r="M43" s="16"/>
      <c r="N43" s="16"/>
      <c r="O43" s="16"/>
      <c r="P43" s="16"/>
      <c r="Q43" s="16"/>
      <c r="R43" s="16"/>
      <c r="S43" s="16"/>
      <c r="T43" s="16"/>
      <c r="U43" s="16"/>
      <c r="V43" s="16"/>
      <c r="W43" s="20"/>
      <c r="X43" s="20"/>
      <c r="Y43" s="20"/>
      <c r="Z43" s="115"/>
      <c r="AA43" s="115"/>
      <c r="AB43" s="153">
        <f t="shared" si="0"/>
        <v>0</v>
      </c>
      <c r="AC43" s="28"/>
      <c r="AD43" s="28"/>
      <c r="AE43" s="28"/>
      <c r="AF43" s="28"/>
    </row>
    <row r="44" spans="1:32">
      <c r="A44" s="52">
        <v>35</v>
      </c>
      <c r="B44" s="16"/>
      <c r="C44" s="16"/>
      <c r="D44" s="16"/>
      <c r="E44" s="16"/>
      <c r="F44" s="16"/>
      <c r="G44" s="16"/>
      <c r="H44" s="16"/>
      <c r="I44" s="16"/>
      <c r="J44" s="16"/>
      <c r="K44" s="16"/>
      <c r="L44" s="16"/>
      <c r="M44" s="16"/>
      <c r="N44" s="16"/>
      <c r="O44" s="16"/>
      <c r="P44" s="16"/>
      <c r="Q44" s="16"/>
      <c r="R44" s="16"/>
      <c r="S44" s="16"/>
      <c r="T44" s="16"/>
      <c r="U44" s="16"/>
      <c r="V44" s="16"/>
      <c r="W44" s="20"/>
      <c r="X44" s="20"/>
      <c r="Y44" s="20"/>
      <c r="Z44" s="115"/>
      <c r="AA44" s="115"/>
      <c r="AB44" s="153">
        <f t="shared" si="0"/>
        <v>0</v>
      </c>
      <c r="AC44" s="28"/>
      <c r="AD44" s="28"/>
      <c r="AE44" s="28"/>
      <c r="AF44" s="28"/>
    </row>
    <row r="45" spans="1:32">
      <c r="A45" s="52">
        <v>36</v>
      </c>
      <c r="B45" s="16"/>
      <c r="C45" s="16"/>
      <c r="D45" s="16"/>
      <c r="E45" s="16"/>
      <c r="F45" s="16"/>
      <c r="G45" s="16"/>
      <c r="H45" s="16"/>
      <c r="I45" s="16"/>
      <c r="J45" s="16"/>
      <c r="K45" s="16"/>
      <c r="L45" s="16"/>
      <c r="M45" s="16"/>
      <c r="N45" s="16"/>
      <c r="O45" s="16"/>
      <c r="P45" s="16"/>
      <c r="Q45" s="16"/>
      <c r="R45" s="16"/>
      <c r="S45" s="16"/>
      <c r="T45" s="16"/>
      <c r="U45" s="16"/>
      <c r="V45" s="16"/>
      <c r="W45" s="20"/>
      <c r="X45" s="20"/>
      <c r="Y45" s="20"/>
      <c r="Z45" s="115"/>
      <c r="AA45" s="115"/>
      <c r="AB45" s="153">
        <f t="shared" si="0"/>
        <v>0</v>
      </c>
      <c r="AC45" s="28"/>
      <c r="AD45" s="28"/>
      <c r="AE45" s="28"/>
      <c r="AF45" s="28"/>
    </row>
    <row r="46" spans="1:32">
      <c r="A46" s="52">
        <v>37</v>
      </c>
      <c r="B46" s="16"/>
      <c r="C46" s="16"/>
      <c r="D46" s="16"/>
      <c r="E46" s="16"/>
      <c r="F46" s="16"/>
      <c r="G46" s="16"/>
      <c r="H46" s="16"/>
      <c r="I46" s="16"/>
      <c r="J46" s="16"/>
      <c r="K46" s="16"/>
      <c r="L46" s="16"/>
      <c r="M46" s="16"/>
      <c r="N46" s="16"/>
      <c r="O46" s="16"/>
      <c r="P46" s="16"/>
      <c r="Q46" s="16"/>
      <c r="R46" s="16"/>
      <c r="S46" s="16"/>
      <c r="T46" s="16"/>
      <c r="U46" s="16"/>
      <c r="V46" s="16"/>
      <c r="W46" s="20"/>
      <c r="X46" s="20"/>
      <c r="Y46" s="20"/>
      <c r="Z46" s="115"/>
      <c r="AA46" s="115"/>
      <c r="AB46" s="153">
        <f t="shared" si="0"/>
        <v>0</v>
      </c>
      <c r="AC46" s="28"/>
      <c r="AD46" s="28"/>
      <c r="AE46" s="28"/>
      <c r="AF46" s="28"/>
    </row>
    <row r="47" spans="1:32">
      <c r="A47" s="52">
        <v>38</v>
      </c>
      <c r="B47" s="16"/>
      <c r="C47" s="16"/>
      <c r="D47" s="16"/>
      <c r="E47" s="16"/>
      <c r="F47" s="16"/>
      <c r="G47" s="16"/>
      <c r="H47" s="16"/>
      <c r="I47" s="16"/>
      <c r="J47" s="16"/>
      <c r="K47" s="16"/>
      <c r="L47" s="16"/>
      <c r="M47" s="16"/>
      <c r="N47" s="16"/>
      <c r="O47" s="16"/>
      <c r="P47" s="16"/>
      <c r="Q47" s="16"/>
      <c r="R47" s="16"/>
      <c r="S47" s="16"/>
      <c r="T47" s="16"/>
      <c r="U47" s="16"/>
      <c r="V47" s="16"/>
      <c r="W47" s="20"/>
      <c r="X47" s="20"/>
      <c r="Y47" s="20"/>
      <c r="Z47" s="115"/>
      <c r="AA47" s="115"/>
      <c r="AB47" s="153">
        <f t="shared" si="0"/>
        <v>0</v>
      </c>
      <c r="AC47" s="28"/>
      <c r="AD47" s="28"/>
      <c r="AE47" s="28"/>
      <c r="AF47" s="28"/>
    </row>
    <row r="48" spans="1:32">
      <c r="A48" s="52">
        <v>39</v>
      </c>
      <c r="B48" s="16"/>
      <c r="C48" s="16"/>
      <c r="D48" s="16"/>
      <c r="E48" s="16"/>
      <c r="F48" s="16"/>
      <c r="G48" s="16"/>
      <c r="H48" s="16"/>
      <c r="I48" s="16"/>
      <c r="J48" s="16"/>
      <c r="K48" s="16"/>
      <c r="L48" s="16"/>
      <c r="M48" s="16"/>
      <c r="N48" s="16"/>
      <c r="O48" s="16"/>
      <c r="P48" s="16"/>
      <c r="Q48" s="16"/>
      <c r="R48" s="16"/>
      <c r="S48" s="16"/>
      <c r="T48" s="16"/>
      <c r="U48" s="16"/>
      <c r="V48" s="16"/>
      <c r="W48" s="20"/>
      <c r="X48" s="20"/>
      <c r="Y48" s="20"/>
      <c r="Z48" s="115"/>
      <c r="AA48" s="115"/>
      <c r="AB48" s="153">
        <f t="shared" si="0"/>
        <v>0</v>
      </c>
      <c r="AC48" s="28"/>
      <c r="AD48" s="28"/>
      <c r="AE48" s="28"/>
      <c r="AF48" s="28"/>
    </row>
    <row r="49" spans="1:32">
      <c r="A49" s="52">
        <v>40</v>
      </c>
      <c r="B49" s="16"/>
      <c r="C49" s="16"/>
      <c r="D49" s="16"/>
      <c r="E49" s="16"/>
      <c r="F49" s="16"/>
      <c r="G49" s="16"/>
      <c r="H49" s="16"/>
      <c r="I49" s="16"/>
      <c r="J49" s="16"/>
      <c r="K49" s="16"/>
      <c r="L49" s="16"/>
      <c r="M49" s="16"/>
      <c r="N49" s="16"/>
      <c r="O49" s="16"/>
      <c r="P49" s="16"/>
      <c r="Q49" s="16"/>
      <c r="R49" s="16"/>
      <c r="S49" s="16"/>
      <c r="T49" s="16"/>
      <c r="U49" s="16"/>
      <c r="V49" s="16"/>
      <c r="W49" s="20"/>
      <c r="X49" s="20"/>
      <c r="Y49" s="20"/>
      <c r="Z49" s="115"/>
      <c r="AA49" s="115"/>
      <c r="AB49" s="153">
        <f t="shared" si="0"/>
        <v>0</v>
      </c>
      <c r="AC49" s="28"/>
      <c r="AD49" s="28"/>
      <c r="AE49" s="28"/>
      <c r="AF49" s="28"/>
    </row>
    <row r="50" spans="1:32">
      <c r="A50" s="52">
        <v>41</v>
      </c>
      <c r="B50" s="16"/>
      <c r="C50" s="16"/>
      <c r="D50" s="16"/>
      <c r="E50" s="16"/>
      <c r="F50" s="16"/>
      <c r="G50" s="16"/>
      <c r="H50" s="16"/>
      <c r="I50" s="16"/>
      <c r="J50" s="16"/>
      <c r="K50" s="16"/>
      <c r="L50" s="16"/>
      <c r="M50" s="16"/>
      <c r="N50" s="16"/>
      <c r="O50" s="16"/>
      <c r="P50" s="16"/>
      <c r="Q50" s="16"/>
      <c r="R50" s="16"/>
      <c r="S50" s="16"/>
      <c r="T50" s="16"/>
      <c r="U50" s="16"/>
      <c r="V50" s="16"/>
      <c r="W50" s="20"/>
      <c r="X50" s="20"/>
      <c r="Y50" s="20"/>
      <c r="Z50" s="115"/>
      <c r="AA50" s="115"/>
      <c r="AB50" s="153">
        <f t="shared" si="0"/>
        <v>0</v>
      </c>
      <c r="AC50" s="28"/>
      <c r="AD50" s="28"/>
      <c r="AE50" s="28"/>
      <c r="AF50" s="28"/>
    </row>
    <row r="51" spans="1:32">
      <c r="A51" s="52">
        <v>42</v>
      </c>
      <c r="B51" s="16"/>
      <c r="C51" s="16"/>
      <c r="D51" s="16"/>
      <c r="E51" s="16"/>
      <c r="F51" s="16"/>
      <c r="G51" s="16"/>
      <c r="H51" s="16"/>
      <c r="I51" s="16"/>
      <c r="J51" s="16"/>
      <c r="K51" s="16"/>
      <c r="L51" s="16"/>
      <c r="M51" s="16"/>
      <c r="N51" s="16"/>
      <c r="O51" s="16"/>
      <c r="P51" s="16"/>
      <c r="Q51" s="16"/>
      <c r="R51" s="16"/>
      <c r="S51" s="16"/>
      <c r="T51" s="16"/>
      <c r="U51" s="16"/>
      <c r="V51" s="16"/>
      <c r="W51" s="20"/>
      <c r="X51" s="20"/>
      <c r="Y51" s="20"/>
      <c r="Z51" s="115"/>
      <c r="AA51" s="115"/>
      <c r="AB51" s="153">
        <f t="shared" si="0"/>
        <v>0</v>
      </c>
      <c r="AC51" s="28"/>
      <c r="AD51" s="28"/>
      <c r="AE51" s="28"/>
      <c r="AF51" s="28"/>
    </row>
    <row r="52" spans="1:32">
      <c r="A52" s="52">
        <v>43</v>
      </c>
      <c r="B52" s="16"/>
      <c r="C52" s="16"/>
      <c r="D52" s="16"/>
      <c r="E52" s="16"/>
      <c r="F52" s="16"/>
      <c r="G52" s="16"/>
      <c r="H52" s="16"/>
      <c r="I52" s="16"/>
      <c r="J52" s="16"/>
      <c r="K52" s="16"/>
      <c r="L52" s="16"/>
      <c r="M52" s="16"/>
      <c r="N52" s="16"/>
      <c r="O52" s="16"/>
      <c r="P52" s="16"/>
      <c r="Q52" s="16"/>
      <c r="R52" s="16"/>
      <c r="S52" s="16"/>
      <c r="T52" s="16"/>
      <c r="U52" s="16"/>
      <c r="V52" s="16"/>
      <c r="W52" s="20"/>
      <c r="X52" s="20"/>
      <c r="Y52" s="20"/>
      <c r="Z52" s="115"/>
      <c r="AA52" s="115"/>
      <c r="AB52" s="153">
        <f t="shared" si="0"/>
        <v>0</v>
      </c>
      <c r="AC52" s="28"/>
      <c r="AD52" s="28"/>
      <c r="AE52" s="28"/>
      <c r="AF52" s="28"/>
    </row>
    <row r="53" spans="1:32">
      <c r="A53" s="52">
        <v>44</v>
      </c>
      <c r="B53" s="16"/>
      <c r="C53" s="16"/>
      <c r="D53" s="16"/>
      <c r="E53" s="16"/>
      <c r="F53" s="16"/>
      <c r="G53" s="16"/>
      <c r="H53" s="16"/>
      <c r="I53" s="16"/>
      <c r="J53" s="16"/>
      <c r="K53" s="16"/>
      <c r="L53" s="16"/>
      <c r="M53" s="16"/>
      <c r="N53" s="16"/>
      <c r="O53" s="16"/>
      <c r="P53" s="16"/>
      <c r="Q53" s="16"/>
      <c r="R53" s="16"/>
      <c r="S53" s="16"/>
      <c r="T53" s="16"/>
      <c r="U53" s="16"/>
      <c r="V53" s="16"/>
      <c r="W53" s="20"/>
      <c r="X53" s="20"/>
      <c r="Y53" s="20"/>
      <c r="Z53" s="115"/>
      <c r="AA53" s="115"/>
      <c r="AB53" s="153">
        <f t="shared" si="0"/>
        <v>0</v>
      </c>
      <c r="AC53" s="28"/>
      <c r="AD53" s="28"/>
      <c r="AE53" s="28"/>
      <c r="AF53" s="28"/>
    </row>
    <row r="54" spans="1:32">
      <c r="A54" s="52">
        <v>45</v>
      </c>
      <c r="B54" s="16"/>
      <c r="C54" s="16"/>
      <c r="D54" s="16"/>
      <c r="E54" s="16"/>
      <c r="F54" s="16"/>
      <c r="G54" s="16"/>
      <c r="H54" s="16"/>
      <c r="I54" s="16"/>
      <c r="J54" s="16"/>
      <c r="K54" s="16"/>
      <c r="L54" s="16"/>
      <c r="M54" s="16"/>
      <c r="N54" s="16"/>
      <c r="O54" s="16"/>
      <c r="P54" s="16"/>
      <c r="Q54" s="16"/>
      <c r="R54" s="16"/>
      <c r="S54" s="16"/>
      <c r="T54" s="16"/>
      <c r="U54" s="16"/>
      <c r="V54" s="16"/>
      <c r="W54" s="20"/>
      <c r="X54" s="20"/>
      <c r="Y54" s="20"/>
      <c r="Z54" s="115"/>
      <c r="AA54" s="115"/>
      <c r="AB54" s="153">
        <f t="shared" si="0"/>
        <v>0</v>
      </c>
      <c r="AC54" s="28"/>
      <c r="AD54" s="28"/>
      <c r="AE54" s="28"/>
      <c r="AF54" s="28"/>
    </row>
    <row r="55" spans="1:32">
      <c r="A55" s="52">
        <v>46</v>
      </c>
      <c r="B55" s="16"/>
      <c r="C55" s="16"/>
      <c r="D55" s="16"/>
      <c r="E55" s="16"/>
      <c r="F55" s="16"/>
      <c r="G55" s="16"/>
      <c r="H55" s="16"/>
      <c r="I55" s="16"/>
      <c r="J55" s="16"/>
      <c r="K55" s="16"/>
      <c r="L55" s="16"/>
      <c r="M55" s="16"/>
      <c r="N55" s="16"/>
      <c r="O55" s="16"/>
      <c r="P55" s="16"/>
      <c r="Q55" s="16"/>
      <c r="R55" s="16"/>
      <c r="S55" s="16"/>
      <c r="T55" s="16"/>
      <c r="U55" s="16"/>
      <c r="V55" s="16"/>
      <c r="W55" s="20"/>
      <c r="X55" s="20"/>
      <c r="Y55" s="20"/>
      <c r="Z55" s="115"/>
      <c r="AA55" s="115"/>
      <c r="AB55" s="153">
        <f t="shared" si="0"/>
        <v>0</v>
      </c>
      <c r="AC55" s="28"/>
      <c r="AD55" s="28"/>
      <c r="AE55" s="28"/>
      <c r="AF55" s="28"/>
    </row>
    <row r="56" spans="1:32">
      <c r="A56" s="52">
        <v>47</v>
      </c>
      <c r="B56" s="16"/>
      <c r="C56" s="16"/>
      <c r="D56" s="16"/>
      <c r="E56" s="16"/>
      <c r="F56" s="16"/>
      <c r="G56" s="16"/>
      <c r="H56" s="16"/>
      <c r="I56" s="16"/>
      <c r="J56" s="16"/>
      <c r="K56" s="16"/>
      <c r="L56" s="16"/>
      <c r="M56" s="16"/>
      <c r="N56" s="16"/>
      <c r="O56" s="16"/>
      <c r="P56" s="16"/>
      <c r="Q56" s="16"/>
      <c r="R56" s="16"/>
      <c r="S56" s="16"/>
      <c r="T56" s="16"/>
      <c r="U56" s="16"/>
      <c r="V56" s="16"/>
      <c r="W56" s="20"/>
      <c r="X56" s="20"/>
      <c r="Y56" s="20"/>
      <c r="Z56" s="115"/>
      <c r="AA56" s="115"/>
      <c r="AB56" s="153">
        <f t="shared" si="0"/>
        <v>0</v>
      </c>
      <c r="AC56" s="28"/>
      <c r="AD56" s="28"/>
      <c r="AE56" s="28"/>
      <c r="AF56" s="28"/>
    </row>
    <row r="57" spans="1:32">
      <c r="A57" s="52">
        <v>48</v>
      </c>
      <c r="B57" s="16"/>
      <c r="C57" s="16"/>
      <c r="D57" s="16"/>
      <c r="E57" s="16"/>
      <c r="F57" s="16"/>
      <c r="G57" s="16"/>
      <c r="H57" s="16"/>
      <c r="I57" s="16"/>
      <c r="J57" s="16"/>
      <c r="K57" s="16"/>
      <c r="L57" s="16"/>
      <c r="M57" s="16"/>
      <c r="N57" s="16"/>
      <c r="O57" s="16"/>
      <c r="P57" s="16"/>
      <c r="Q57" s="16"/>
      <c r="R57" s="16"/>
      <c r="S57" s="16"/>
      <c r="T57" s="16"/>
      <c r="U57" s="16"/>
      <c r="V57" s="16"/>
      <c r="W57" s="20"/>
      <c r="X57" s="20"/>
      <c r="Y57" s="20"/>
      <c r="Z57" s="115"/>
      <c r="AA57" s="115"/>
      <c r="AB57" s="153">
        <f t="shared" si="0"/>
        <v>0</v>
      </c>
      <c r="AC57" s="28"/>
      <c r="AD57" s="28"/>
      <c r="AE57" s="28"/>
      <c r="AF57" s="28"/>
    </row>
    <row r="58" spans="1:32">
      <c r="A58" s="52">
        <v>49</v>
      </c>
      <c r="B58" s="16"/>
      <c r="C58" s="16"/>
      <c r="D58" s="16"/>
      <c r="E58" s="16"/>
      <c r="F58" s="16"/>
      <c r="G58" s="16"/>
      <c r="H58" s="16"/>
      <c r="I58" s="16"/>
      <c r="J58" s="16"/>
      <c r="K58" s="16"/>
      <c r="L58" s="16"/>
      <c r="M58" s="16"/>
      <c r="N58" s="16"/>
      <c r="O58" s="16"/>
      <c r="P58" s="16"/>
      <c r="Q58" s="16"/>
      <c r="R58" s="16"/>
      <c r="S58" s="16"/>
      <c r="T58" s="16"/>
      <c r="U58" s="16"/>
      <c r="V58" s="16"/>
      <c r="W58" s="16"/>
      <c r="X58" s="16"/>
      <c r="Y58" s="16"/>
      <c r="Z58" s="77"/>
      <c r="AA58" s="77"/>
      <c r="AB58" s="153">
        <f t="shared" si="0"/>
        <v>0</v>
      </c>
      <c r="AC58" s="28"/>
      <c r="AD58" s="28"/>
      <c r="AE58" s="28"/>
      <c r="AF58" s="28"/>
    </row>
    <row r="59" spans="1:32" ht="15" thickBot="1">
      <c r="A59" s="154">
        <v>50</v>
      </c>
      <c r="B59" s="155"/>
      <c r="C59" s="155"/>
      <c r="D59" s="155"/>
      <c r="E59" s="155"/>
      <c r="F59" s="155"/>
      <c r="G59" s="155"/>
      <c r="H59" s="155"/>
      <c r="I59" s="155"/>
      <c r="J59" s="155"/>
      <c r="K59" s="155"/>
      <c r="L59" s="155"/>
      <c r="M59" s="155"/>
      <c r="N59" s="155"/>
      <c r="O59" s="155"/>
      <c r="P59" s="155"/>
      <c r="Q59" s="155"/>
      <c r="R59" s="155"/>
      <c r="S59" s="155"/>
      <c r="T59" s="155"/>
      <c r="U59" s="155"/>
      <c r="V59" s="155"/>
      <c r="W59" s="155"/>
      <c r="X59" s="155"/>
      <c r="Y59" s="155"/>
      <c r="Z59" s="159"/>
      <c r="AA59" s="159"/>
      <c r="AB59" s="160">
        <f t="shared" si="0"/>
        <v>0</v>
      </c>
      <c r="AC59" s="28"/>
      <c r="AD59" s="28"/>
      <c r="AE59" s="28"/>
      <c r="AF59" s="28"/>
    </row>
    <row r="60" spans="1:32">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row>
    <row r="61" spans="1:32">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row>
    <row r="63" spans="1:32">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row>
    <row r="64" spans="1:32">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row>
    <row r="65" spans="1:28">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row>
  </sheetData>
  <mergeCells count="29">
    <mergeCell ref="A1:AB1"/>
    <mergeCell ref="A3:K3"/>
    <mergeCell ref="G7:G9"/>
    <mergeCell ref="B7:F7"/>
    <mergeCell ref="A5:L6"/>
    <mergeCell ref="M5:N6"/>
    <mergeCell ref="O5:R6"/>
    <mergeCell ref="S6:AB6"/>
    <mergeCell ref="O7:O9"/>
    <mergeCell ref="P7:P9"/>
    <mergeCell ref="Q7:Q9"/>
    <mergeCell ref="R7:R9"/>
    <mergeCell ref="M7:M9"/>
    <mergeCell ref="N7:N9"/>
    <mergeCell ref="K7:L8"/>
    <mergeCell ref="AB7:AB9"/>
    <mergeCell ref="S5:AB5"/>
    <mergeCell ref="A7:A9"/>
    <mergeCell ref="H7:I7"/>
    <mergeCell ref="J7:J9"/>
    <mergeCell ref="D8:D9"/>
    <mergeCell ref="E8:E9"/>
    <mergeCell ref="F8:F9"/>
    <mergeCell ref="H8:I8"/>
    <mergeCell ref="S8:S9"/>
    <mergeCell ref="AA8:AA9"/>
    <mergeCell ref="T8:T9"/>
    <mergeCell ref="X7:Z8"/>
    <mergeCell ref="U7:W8"/>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3"/>
  <dimension ref="A1:BD67"/>
  <sheetViews>
    <sheetView topLeftCell="AS5" zoomScale="96" zoomScaleNormal="96" workbookViewId="0">
      <selection activeCell="W7" sqref="W7:W8"/>
    </sheetView>
  </sheetViews>
  <sheetFormatPr baseColWidth="10" defaultRowHeight="14.5"/>
  <cols>
    <col min="1" max="1" width="8.453125" customWidth="1"/>
    <col min="2" max="2" width="9" customWidth="1"/>
    <col min="3" max="3" width="10" customWidth="1"/>
    <col min="4" max="4" width="9.7265625" customWidth="1"/>
    <col min="5" max="5" width="24.81640625" customWidth="1"/>
    <col min="6" max="6" width="13.7265625" customWidth="1"/>
    <col min="7" max="7" width="17.453125" customWidth="1"/>
    <col min="8" max="8" width="26.81640625" customWidth="1"/>
    <col min="9" max="9" width="26.26953125" customWidth="1"/>
    <col min="10" max="10" width="18.7265625" customWidth="1"/>
    <col min="11" max="11" width="20.7265625" customWidth="1"/>
    <col min="12" max="12" width="13.7265625" customWidth="1"/>
    <col min="13" max="13" width="17.453125" customWidth="1"/>
    <col min="14" max="14" width="5.453125" customWidth="1"/>
    <col min="15" max="15" width="17.453125" customWidth="1"/>
    <col min="16" max="16" width="5.453125" customWidth="1"/>
    <col min="17" max="17" width="17.453125" customWidth="1"/>
    <col min="18" max="18" width="11.7265625" customWidth="1"/>
    <col min="19" max="19" width="5.1796875" customWidth="1"/>
    <col min="20" max="20" width="17.453125" customWidth="1"/>
    <col min="21" max="21" width="12.26953125" customWidth="1"/>
    <col min="22" max="22" width="6" customWidth="1"/>
    <col min="23" max="23" width="9" customWidth="1"/>
    <col min="24" max="24" width="14" customWidth="1"/>
    <col min="25" max="31" width="7.453125" customWidth="1"/>
    <col min="32" max="32" width="12.453125" customWidth="1"/>
    <col min="33" max="33" width="9.7265625" customWidth="1"/>
    <col min="34" max="34" width="12.453125" customWidth="1"/>
    <col min="35" max="35" width="12.1796875" customWidth="1"/>
    <col min="36" max="36" width="13.453125" customWidth="1"/>
    <col min="37" max="37" width="12.26953125" customWidth="1"/>
    <col min="38" max="38" width="11.1796875" customWidth="1"/>
    <col min="39" max="39" width="13.453125" customWidth="1"/>
    <col min="40" max="40" width="17.453125" customWidth="1"/>
    <col min="41" max="41" width="27.1796875" customWidth="1"/>
    <col min="42" max="42" width="25.1796875" customWidth="1"/>
    <col min="43" max="43" width="24.1796875" customWidth="1"/>
    <col min="44" max="44" width="27" customWidth="1"/>
    <col min="45" max="45" width="21.453125" customWidth="1"/>
    <col min="46" max="46" width="9.453125" customWidth="1"/>
    <col min="47" max="47" width="8.7265625" customWidth="1"/>
    <col min="48" max="48" width="14.26953125" customWidth="1"/>
    <col min="49" max="49" width="12.26953125" customWidth="1"/>
    <col min="50" max="51" width="17.453125" customWidth="1"/>
  </cols>
  <sheetData>
    <row r="1" spans="1:56" ht="15.75" hidden="1" customHeight="1">
      <c r="A1" s="73" t="s">
        <v>221</v>
      </c>
    </row>
    <row r="2" spans="1:56" ht="15.75" customHeight="1">
      <c r="A2" s="99" t="s">
        <v>501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row>
    <row r="3" spans="1:56" ht="15.75" customHeight="1">
      <c r="A3" s="99"/>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row>
    <row r="4" spans="1:56" ht="56.15" customHeight="1">
      <c r="A4" s="648" t="s">
        <v>359</v>
      </c>
      <c r="B4" s="648"/>
      <c r="C4" s="648"/>
      <c r="D4" s="648"/>
      <c r="E4" s="648"/>
      <c r="F4" s="648"/>
      <c r="G4" s="64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row>
    <row r="5" spans="1:56" ht="37" customHeight="1">
      <c r="A5" s="573" t="s">
        <v>366</v>
      </c>
      <c r="B5" s="573"/>
      <c r="C5" s="573"/>
      <c r="D5" s="573"/>
      <c r="E5" s="573"/>
      <c r="F5" s="573"/>
      <c r="G5" s="573"/>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row>
    <row r="6" spans="1:56" ht="15.75" customHeight="1">
      <c r="A6" s="99"/>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row>
    <row r="7" spans="1:56" ht="36" customHeight="1">
      <c r="A7" s="28"/>
      <c r="B7" s="641" t="s">
        <v>106</v>
      </c>
      <c r="C7" s="641"/>
      <c r="D7" s="641"/>
      <c r="E7" s="641"/>
      <c r="F7" s="641"/>
      <c r="G7" s="641"/>
      <c r="H7" s="641"/>
      <c r="I7" s="641"/>
      <c r="J7" s="649" t="s">
        <v>223</v>
      </c>
      <c r="K7" s="649"/>
      <c r="L7" s="649"/>
      <c r="M7" s="645" t="s">
        <v>232</v>
      </c>
      <c r="N7" s="647"/>
      <c r="O7" s="645" t="s">
        <v>231</v>
      </c>
      <c r="P7" s="647"/>
      <c r="Q7" s="645" t="s">
        <v>230</v>
      </c>
      <c r="R7" s="646"/>
      <c r="S7" s="647"/>
      <c r="T7" s="645" t="s">
        <v>233</v>
      </c>
      <c r="U7" s="646"/>
      <c r="V7" s="647"/>
      <c r="W7" s="644" t="s">
        <v>246</v>
      </c>
      <c r="X7" s="644" t="s">
        <v>247</v>
      </c>
      <c r="Y7" s="643" t="s">
        <v>238</v>
      </c>
      <c r="Z7" s="643"/>
      <c r="AA7" s="643"/>
      <c r="AB7" s="643"/>
      <c r="AC7" s="643"/>
      <c r="AD7" s="643"/>
      <c r="AE7" s="643"/>
      <c r="AF7" s="643"/>
      <c r="AG7" s="643"/>
      <c r="AH7" s="643"/>
      <c r="AI7" s="643"/>
      <c r="AJ7" s="637" t="s">
        <v>242</v>
      </c>
      <c r="AK7" s="638"/>
      <c r="AL7" s="638"/>
      <c r="AM7" s="639"/>
      <c r="AN7" s="640" t="s">
        <v>109</v>
      </c>
      <c r="AO7" s="640"/>
      <c r="AP7" s="518" t="s">
        <v>502</v>
      </c>
      <c r="AQ7" s="518"/>
      <c r="AR7" s="518"/>
      <c r="AS7" s="518"/>
      <c r="AT7" s="642" t="s">
        <v>111</v>
      </c>
      <c r="AU7" s="642"/>
      <c r="AV7" s="642"/>
      <c r="AW7" s="642"/>
      <c r="AX7" s="642"/>
      <c r="AY7" s="642"/>
      <c r="AZ7" s="28"/>
      <c r="BA7" s="28"/>
      <c r="BB7" s="28"/>
      <c r="BC7" s="28"/>
      <c r="BD7" s="28"/>
    </row>
    <row r="8" spans="1:56" ht="56.15" customHeight="1">
      <c r="A8" s="228" t="s">
        <v>29</v>
      </c>
      <c r="B8" s="178" t="s">
        <v>50</v>
      </c>
      <c r="C8" s="178" t="s">
        <v>102</v>
      </c>
      <c r="D8" s="178" t="s">
        <v>103</v>
      </c>
      <c r="E8" s="178" t="s">
        <v>51</v>
      </c>
      <c r="F8" s="178" t="s">
        <v>105</v>
      </c>
      <c r="G8" s="178" t="s">
        <v>104</v>
      </c>
      <c r="H8" s="178" t="s">
        <v>224</v>
      </c>
      <c r="I8" s="209" t="s">
        <v>52</v>
      </c>
      <c r="J8" s="253" t="s">
        <v>107</v>
      </c>
      <c r="K8" s="253" t="s">
        <v>222</v>
      </c>
      <c r="L8" s="253" t="s">
        <v>108</v>
      </c>
      <c r="M8" s="189" t="s">
        <v>234</v>
      </c>
      <c r="N8" s="189" t="s">
        <v>235</v>
      </c>
      <c r="O8" s="189" t="s">
        <v>234</v>
      </c>
      <c r="P8" s="189" t="s">
        <v>235</v>
      </c>
      <c r="Q8" s="189" t="s">
        <v>234</v>
      </c>
      <c r="R8" s="189" t="s">
        <v>236</v>
      </c>
      <c r="S8" s="189" t="s">
        <v>235</v>
      </c>
      <c r="T8" s="189" t="s">
        <v>234</v>
      </c>
      <c r="U8" s="189" t="s">
        <v>1</v>
      </c>
      <c r="V8" s="190" t="s">
        <v>235</v>
      </c>
      <c r="W8" s="644"/>
      <c r="X8" s="644"/>
      <c r="Y8" s="92" t="s">
        <v>360</v>
      </c>
      <c r="Z8" s="193" t="s">
        <v>361</v>
      </c>
      <c r="AA8" s="193" t="s">
        <v>362</v>
      </c>
      <c r="AB8" s="193" t="s">
        <v>363</v>
      </c>
      <c r="AC8" s="193" t="s">
        <v>364</v>
      </c>
      <c r="AD8" s="193" t="s">
        <v>365</v>
      </c>
      <c r="AE8" s="193" t="s">
        <v>237</v>
      </c>
      <c r="AF8" s="194" t="s">
        <v>225</v>
      </c>
      <c r="AG8" s="194" t="s">
        <v>226</v>
      </c>
      <c r="AH8" s="194" t="s">
        <v>227</v>
      </c>
      <c r="AI8" s="194" t="s">
        <v>229</v>
      </c>
      <c r="AJ8" s="194" t="s">
        <v>239</v>
      </c>
      <c r="AK8" s="194" t="s">
        <v>240</v>
      </c>
      <c r="AL8" s="194" t="s">
        <v>241</v>
      </c>
      <c r="AM8" s="194" t="s">
        <v>228</v>
      </c>
      <c r="AN8" s="196" t="s">
        <v>110</v>
      </c>
      <c r="AO8" s="196" t="s">
        <v>55</v>
      </c>
      <c r="AP8" s="192" t="s">
        <v>504</v>
      </c>
      <c r="AQ8" s="192" t="s">
        <v>245</v>
      </c>
      <c r="AR8" s="192" t="s">
        <v>244</v>
      </c>
      <c r="AS8" s="192" t="s">
        <v>243</v>
      </c>
      <c r="AT8" s="181" t="s">
        <v>433</v>
      </c>
      <c r="AU8" s="181" t="s">
        <v>434</v>
      </c>
      <c r="AV8" s="181" t="s">
        <v>112</v>
      </c>
      <c r="AW8" s="181" t="s">
        <v>431</v>
      </c>
      <c r="AX8" s="181" t="s">
        <v>432</v>
      </c>
      <c r="AY8" s="202" t="s">
        <v>503</v>
      </c>
      <c r="AZ8" s="28"/>
      <c r="BA8" s="28"/>
      <c r="BB8" s="28"/>
      <c r="BC8" s="28"/>
      <c r="BD8" s="28"/>
    </row>
    <row r="9" spans="1:56">
      <c r="A9" s="145">
        <v>1</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90"/>
      <c r="AU9" s="90"/>
      <c r="AV9" s="90"/>
      <c r="AW9" s="21">
        <f t="shared" ref="AW9:AW58" si="0">AQ9+AR9</f>
        <v>0</v>
      </c>
      <c r="AX9" s="20"/>
      <c r="AY9" s="166"/>
      <c r="AZ9" s="28"/>
      <c r="BA9" s="28"/>
      <c r="BB9" s="28"/>
      <c r="BC9" s="28"/>
      <c r="BD9" s="28"/>
    </row>
    <row r="10" spans="1:56">
      <c r="A10" s="145">
        <v>2</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91"/>
      <c r="AU10" s="91"/>
      <c r="AV10" s="91"/>
      <c r="AW10" s="21">
        <f t="shared" si="0"/>
        <v>0</v>
      </c>
      <c r="AX10" s="20"/>
      <c r="AY10" s="166"/>
      <c r="AZ10" s="28"/>
      <c r="BA10" s="28"/>
      <c r="BB10" s="28"/>
      <c r="BC10" s="28"/>
      <c r="BD10" s="28"/>
    </row>
    <row r="11" spans="1:56">
      <c r="A11" s="145">
        <v>3</v>
      </c>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20"/>
      <c r="AU11" s="20"/>
      <c r="AV11" s="20"/>
      <c r="AW11" s="21">
        <f t="shared" si="0"/>
        <v>0</v>
      </c>
      <c r="AX11" s="20"/>
      <c r="AY11" s="166"/>
      <c r="AZ11" s="28"/>
      <c r="BA11" s="28"/>
      <c r="BB11" s="28"/>
      <c r="BC11" s="28"/>
      <c r="BD11" s="28"/>
    </row>
    <row r="12" spans="1:56">
      <c r="A12" s="145">
        <v>4</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20"/>
      <c r="AU12" s="20"/>
      <c r="AV12" s="20"/>
      <c r="AW12" s="21">
        <f t="shared" si="0"/>
        <v>0</v>
      </c>
      <c r="AX12" s="20"/>
      <c r="AY12" s="166"/>
      <c r="AZ12" s="28"/>
      <c r="BA12" s="28"/>
      <c r="BB12" s="28"/>
      <c r="BC12" s="28"/>
      <c r="BD12" s="28"/>
    </row>
    <row r="13" spans="1:56">
      <c r="A13" s="145">
        <v>5</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20"/>
      <c r="AU13" s="20"/>
      <c r="AV13" s="20"/>
      <c r="AW13" s="21">
        <f t="shared" si="0"/>
        <v>0</v>
      </c>
      <c r="AX13" s="20"/>
      <c r="AY13" s="166"/>
      <c r="AZ13" s="28"/>
      <c r="BA13" s="28"/>
      <c r="BB13" s="28"/>
      <c r="BC13" s="28"/>
      <c r="BD13" s="28"/>
    </row>
    <row r="14" spans="1:56">
      <c r="A14" s="145">
        <v>6</v>
      </c>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20"/>
      <c r="AU14" s="20"/>
      <c r="AV14" s="20"/>
      <c r="AW14" s="21">
        <f t="shared" si="0"/>
        <v>0</v>
      </c>
      <c r="AX14" s="20"/>
      <c r="AY14" s="166"/>
      <c r="AZ14" s="28"/>
      <c r="BA14" s="28"/>
      <c r="BB14" s="28"/>
      <c r="BC14" s="28"/>
      <c r="BD14" s="28"/>
    </row>
    <row r="15" spans="1:56">
      <c r="A15" s="145">
        <v>7</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20"/>
      <c r="AU15" s="20"/>
      <c r="AV15" s="20"/>
      <c r="AW15" s="21">
        <f t="shared" si="0"/>
        <v>0</v>
      </c>
      <c r="AX15" s="20"/>
      <c r="AY15" s="166"/>
      <c r="AZ15" s="28"/>
      <c r="BA15" s="28"/>
      <c r="BB15" s="28"/>
      <c r="BC15" s="28"/>
      <c r="BD15" s="28"/>
    </row>
    <row r="16" spans="1:56">
      <c r="A16" s="145">
        <v>8</v>
      </c>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20"/>
      <c r="AU16" s="20"/>
      <c r="AV16" s="20"/>
      <c r="AW16" s="21">
        <f t="shared" si="0"/>
        <v>0</v>
      </c>
      <c r="AX16" s="20"/>
      <c r="AY16" s="166"/>
      <c r="AZ16" s="28"/>
      <c r="BA16" s="28"/>
      <c r="BB16" s="28"/>
      <c r="BC16" s="28"/>
      <c r="BD16" s="28"/>
    </row>
    <row r="17" spans="1:56">
      <c r="A17" s="145">
        <v>9</v>
      </c>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20"/>
      <c r="AU17" s="20"/>
      <c r="AV17" s="20"/>
      <c r="AW17" s="21">
        <f t="shared" si="0"/>
        <v>0</v>
      </c>
      <c r="AX17" s="20"/>
      <c r="AY17" s="166"/>
      <c r="AZ17" s="28"/>
      <c r="BA17" s="28"/>
      <c r="BB17" s="28"/>
      <c r="BC17" s="28"/>
      <c r="BD17" s="28"/>
    </row>
    <row r="18" spans="1:56">
      <c r="A18" s="145">
        <v>10</v>
      </c>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20"/>
      <c r="AU18" s="20"/>
      <c r="AV18" s="20"/>
      <c r="AW18" s="21">
        <f t="shared" si="0"/>
        <v>0</v>
      </c>
      <c r="AX18" s="20"/>
      <c r="AY18" s="166"/>
      <c r="AZ18" s="28"/>
      <c r="BA18" s="28"/>
      <c r="BB18" s="28"/>
      <c r="BC18" s="28"/>
      <c r="BD18" s="28"/>
    </row>
    <row r="19" spans="1:56">
      <c r="A19" s="145">
        <v>11</v>
      </c>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20"/>
      <c r="AU19" s="20"/>
      <c r="AV19" s="20"/>
      <c r="AW19" s="21">
        <f t="shared" si="0"/>
        <v>0</v>
      </c>
      <c r="AX19" s="20"/>
      <c r="AY19" s="166"/>
      <c r="AZ19" s="28"/>
      <c r="BA19" s="28"/>
      <c r="BB19" s="28"/>
      <c r="BC19" s="28"/>
      <c r="BD19" s="28"/>
    </row>
    <row r="20" spans="1:56">
      <c r="A20" s="145">
        <v>12</v>
      </c>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20"/>
      <c r="AU20" s="20"/>
      <c r="AV20" s="20"/>
      <c r="AW20" s="21">
        <f t="shared" si="0"/>
        <v>0</v>
      </c>
      <c r="AX20" s="20"/>
      <c r="AY20" s="166"/>
      <c r="AZ20" s="28"/>
      <c r="BA20" s="28"/>
      <c r="BB20" s="28"/>
      <c r="BC20" s="28"/>
      <c r="BD20" s="28"/>
    </row>
    <row r="21" spans="1:56">
      <c r="A21" s="145">
        <v>13</v>
      </c>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20"/>
      <c r="AU21" s="20"/>
      <c r="AV21" s="20"/>
      <c r="AW21" s="21">
        <f t="shared" si="0"/>
        <v>0</v>
      </c>
      <c r="AX21" s="20"/>
      <c r="AY21" s="166"/>
      <c r="AZ21" s="28"/>
      <c r="BA21" s="28"/>
      <c r="BB21" s="28"/>
      <c r="BC21" s="28"/>
      <c r="BD21" s="28"/>
    </row>
    <row r="22" spans="1:56">
      <c r="A22" s="145">
        <v>14</v>
      </c>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20"/>
      <c r="AU22" s="20"/>
      <c r="AV22" s="20"/>
      <c r="AW22" s="21">
        <f t="shared" si="0"/>
        <v>0</v>
      </c>
      <c r="AX22" s="20"/>
      <c r="AY22" s="166"/>
      <c r="AZ22" s="28"/>
      <c r="BA22" s="28"/>
      <c r="BB22" s="28"/>
      <c r="BC22" s="28"/>
      <c r="BD22" s="28"/>
    </row>
    <row r="23" spans="1:56">
      <c r="A23" s="145">
        <v>15</v>
      </c>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20"/>
      <c r="AU23" s="20"/>
      <c r="AV23" s="20"/>
      <c r="AW23" s="21">
        <f t="shared" si="0"/>
        <v>0</v>
      </c>
      <c r="AX23" s="20"/>
      <c r="AY23" s="166"/>
      <c r="AZ23" s="28"/>
      <c r="BA23" s="28"/>
      <c r="BB23" s="28"/>
      <c r="BC23" s="28"/>
      <c r="BD23" s="28"/>
    </row>
    <row r="24" spans="1:56">
      <c r="A24" s="145">
        <v>16</v>
      </c>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20"/>
      <c r="AU24" s="20"/>
      <c r="AV24" s="20"/>
      <c r="AW24" s="21">
        <f t="shared" si="0"/>
        <v>0</v>
      </c>
      <c r="AX24" s="20"/>
      <c r="AY24" s="166"/>
      <c r="AZ24" s="28"/>
      <c r="BA24" s="28"/>
      <c r="BB24" s="28"/>
      <c r="BC24" s="28"/>
      <c r="BD24" s="28"/>
    </row>
    <row r="25" spans="1:56">
      <c r="A25" s="145">
        <v>17</v>
      </c>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20"/>
      <c r="AU25" s="20"/>
      <c r="AV25" s="20"/>
      <c r="AW25" s="21">
        <f t="shared" si="0"/>
        <v>0</v>
      </c>
      <c r="AX25" s="20"/>
      <c r="AY25" s="166"/>
      <c r="AZ25" s="28"/>
      <c r="BA25" s="28"/>
      <c r="BB25" s="28"/>
      <c r="BC25" s="28"/>
      <c r="BD25" s="28"/>
    </row>
    <row r="26" spans="1:56">
      <c r="A26" s="145">
        <v>18</v>
      </c>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20"/>
      <c r="AU26" s="20"/>
      <c r="AV26" s="20"/>
      <c r="AW26" s="21">
        <f t="shared" si="0"/>
        <v>0</v>
      </c>
      <c r="AX26" s="20"/>
      <c r="AY26" s="166"/>
      <c r="AZ26" s="28"/>
      <c r="BA26" s="28"/>
      <c r="BB26" s="28"/>
      <c r="BC26" s="28"/>
      <c r="BD26" s="28"/>
    </row>
    <row r="27" spans="1:56">
      <c r="A27" s="145">
        <v>19</v>
      </c>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20"/>
      <c r="AU27" s="20"/>
      <c r="AV27" s="20"/>
      <c r="AW27" s="21">
        <f t="shared" si="0"/>
        <v>0</v>
      </c>
      <c r="AX27" s="20"/>
      <c r="AY27" s="166"/>
      <c r="AZ27" s="28"/>
      <c r="BA27" s="28"/>
      <c r="BB27" s="28"/>
      <c r="BC27" s="28"/>
      <c r="BD27" s="28"/>
    </row>
    <row r="28" spans="1:56">
      <c r="A28" s="145">
        <v>20</v>
      </c>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20"/>
      <c r="AU28" s="20"/>
      <c r="AV28" s="20"/>
      <c r="AW28" s="21">
        <f t="shared" si="0"/>
        <v>0</v>
      </c>
      <c r="AX28" s="20"/>
      <c r="AY28" s="166"/>
      <c r="AZ28" s="28"/>
      <c r="BA28" s="28"/>
      <c r="BB28" s="28"/>
      <c r="BC28" s="28"/>
      <c r="BD28" s="28"/>
    </row>
    <row r="29" spans="1:56">
      <c r="A29" s="145">
        <v>21</v>
      </c>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20"/>
      <c r="AU29" s="20"/>
      <c r="AV29" s="20"/>
      <c r="AW29" s="21">
        <f t="shared" si="0"/>
        <v>0</v>
      </c>
      <c r="AX29" s="20"/>
      <c r="AY29" s="166"/>
      <c r="AZ29" s="28"/>
      <c r="BA29" s="28"/>
      <c r="BB29" s="28"/>
      <c r="BC29" s="28"/>
      <c r="BD29" s="28"/>
    </row>
    <row r="30" spans="1:56">
      <c r="A30" s="145">
        <v>22</v>
      </c>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20"/>
      <c r="AU30" s="20"/>
      <c r="AV30" s="20"/>
      <c r="AW30" s="21">
        <f t="shared" si="0"/>
        <v>0</v>
      </c>
      <c r="AX30" s="20"/>
      <c r="AY30" s="166"/>
      <c r="AZ30" s="28"/>
      <c r="BA30" s="28"/>
      <c r="BB30" s="28"/>
      <c r="BC30" s="28"/>
      <c r="BD30" s="28"/>
    </row>
    <row r="31" spans="1:56">
      <c r="A31" s="145">
        <v>23</v>
      </c>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20"/>
      <c r="AU31" s="20"/>
      <c r="AV31" s="20"/>
      <c r="AW31" s="21">
        <f t="shared" si="0"/>
        <v>0</v>
      </c>
      <c r="AX31" s="20"/>
      <c r="AY31" s="166"/>
      <c r="AZ31" s="28"/>
      <c r="BA31" s="28"/>
      <c r="BB31" s="28"/>
      <c r="BC31" s="28"/>
      <c r="BD31" s="28"/>
    </row>
    <row r="32" spans="1:56">
      <c r="A32" s="145">
        <v>24</v>
      </c>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20"/>
      <c r="AU32" s="20"/>
      <c r="AV32" s="20"/>
      <c r="AW32" s="21">
        <f t="shared" si="0"/>
        <v>0</v>
      </c>
      <c r="AX32" s="20"/>
      <c r="AY32" s="166"/>
      <c r="AZ32" s="28"/>
      <c r="BA32" s="28"/>
      <c r="BB32" s="28"/>
      <c r="BC32" s="28"/>
      <c r="BD32" s="28"/>
    </row>
    <row r="33" spans="1:56">
      <c r="A33" s="145">
        <v>25</v>
      </c>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20"/>
      <c r="AU33" s="20"/>
      <c r="AV33" s="20"/>
      <c r="AW33" s="21">
        <f t="shared" si="0"/>
        <v>0</v>
      </c>
      <c r="AX33" s="20"/>
      <c r="AY33" s="166"/>
      <c r="AZ33" s="28"/>
      <c r="BA33" s="28"/>
      <c r="BB33" s="28"/>
      <c r="BC33" s="28"/>
      <c r="BD33" s="28"/>
    </row>
    <row r="34" spans="1:56">
      <c r="A34" s="145">
        <v>26</v>
      </c>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20"/>
      <c r="AU34" s="20"/>
      <c r="AV34" s="20"/>
      <c r="AW34" s="21">
        <f t="shared" si="0"/>
        <v>0</v>
      </c>
      <c r="AX34" s="20"/>
      <c r="AY34" s="166"/>
      <c r="AZ34" s="28"/>
      <c r="BA34" s="28"/>
      <c r="BB34" s="28"/>
      <c r="BC34" s="28"/>
      <c r="BD34" s="28"/>
    </row>
    <row r="35" spans="1:56">
      <c r="A35" s="145">
        <v>27</v>
      </c>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20"/>
      <c r="AU35" s="20"/>
      <c r="AV35" s="20"/>
      <c r="AW35" s="21">
        <f t="shared" si="0"/>
        <v>0</v>
      </c>
      <c r="AX35" s="20"/>
      <c r="AY35" s="166"/>
      <c r="AZ35" s="28"/>
      <c r="BA35" s="28"/>
      <c r="BB35" s="28"/>
      <c r="BC35" s="28"/>
      <c r="BD35" s="28"/>
    </row>
    <row r="36" spans="1:56">
      <c r="A36" s="145">
        <v>28</v>
      </c>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20"/>
      <c r="AU36" s="20"/>
      <c r="AV36" s="20"/>
      <c r="AW36" s="21">
        <f t="shared" si="0"/>
        <v>0</v>
      </c>
      <c r="AX36" s="20"/>
      <c r="AY36" s="166"/>
      <c r="AZ36" s="28"/>
      <c r="BA36" s="28"/>
      <c r="BB36" s="28"/>
      <c r="BC36" s="28"/>
      <c r="BD36" s="28"/>
    </row>
    <row r="37" spans="1:56">
      <c r="A37" s="145">
        <v>29</v>
      </c>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20"/>
      <c r="AU37" s="20"/>
      <c r="AV37" s="20"/>
      <c r="AW37" s="21">
        <f t="shared" si="0"/>
        <v>0</v>
      </c>
      <c r="AX37" s="20"/>
      <c r="AY37" s="166"/>
      <c r="AZ37" s="28"/>
      <c r="BA37" s="28"/>
      <c r="BB37" s="28"/>
      <c r="BC37" s="28"/>
      <c r="BD37" s="28"/>
    </row>
    <row r="38" spans="1:56">
      <c r="A38" s="145">
        <v>30</v>
      </c>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20"/>
      <c r="AU38" s="20"/>
      <c r="AV38" s="20"/>
      <c r="AW38" s="21">
        <f t="shared" si="0"/>
        <v>0</v>
      </c>
      <c r="AX38" s="20"/>
      <c r="AY38" s="166"/>
      <c r="AZ38" s="28"/>
      <c r="BA38" s="28"/>
      <c r="BB38" s="28"/>
      <c r="BC38" s="28"/>
      <c r="BD38" s="28"/>
    </row>
    <row r="39" spans="1:56">
      <c r="A39" s="145">
        <v>31</v>
      </c>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20"/>
      <c r="AU39" s="20"/>
      <c r="AV39" s="20"/>
      <c r="AW39" s="21">
        <f t="shared" si="0"/>
        <v>0</v>
      </c>
      <c r="AX39" s="20"/>
      <c r="AY39" s="166"/>
      <c r="AZ39" s="28"/>
      <c r="BA39" s="28"/>
      <c r="BB39" s="28"/>
      <c r="BC39" s="28"/>
      <c r="BD39" s="28"/>
    </row>
    <row r="40" spans="1:56">
      <c r="A40" s="145">
        <v>32</v>
      </c>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20"/>
      <c r="AU40" s="20"/>
      <c r="AV40" s="20"/>
      <c r="AW40" s="21">
        <f t="shared" si="0"/>
        <v>0</v>
      </c>
      <c r="AX40" s="20"/>
      <c r="AY40" s="166"/>
      <c r="AZ40" s="28"/>
      <c r="BA40" s="28"/>
      <c r="BB40" s="28"/>
      <c r="BC40" s="28"/>
      <c r="BD40" s="28"/>
    </row>
    <row r="41" spans="1:56">
      <c r="A41" s="145">
        <v>33</v>
      </c>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20"/>
      <c r="AU41" s="20"/>
      <c r="AV41" s="20"/>
      <c r="AW41" s="21">
        <f t="shared" si="0"/>
        <v>0</v>
      </c>
      <c r="AX41" s="20"/>
      <c r="AY41" s="166"/>
      <c r="AZ41" s="28"/>
      <c r="BA41" s="28"/>
      <c r="BB41" s="28"/>
      <c r="BC41" s="28"/>
      <c r="BD41" s="28"/>
    </row>
    <row r="42" spans="1:56">
      <c r="A42" s="145">
        <v>34</v>
      </c>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20"/>
      <c r="AU42" s="20"/>
      <c r="AV42" s="20"/>
      <c r="AW42" s="21">
        <f t="shared" si="0"/>
        <v>0</v>
      </c>
      <c r="AX42" s="20"/>
      <c r="AY42" s="166"/>
      <c r="AZ42" s="28"/>
      <c r="BA42" s="28"/>
      <c r="BB42" s="28"/>
      <c r="BC42" s="28"/>
      <c r="BD42" s="28"/>
    </row>
    <row r="43" spans="1:56">
      <c r="A43" s="145">
        <v>35</v>
      </c>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20"/>
      <c r="AU43" s="20"/>
      <c r="AV43" s="20"/>
      <c r="AW43" s="21">
        <f t="shared" si="0"/>
        <v>0</v>
      </c>
      <c r="AX43" s="20"/>
      <c r="AY43" s="166"/>
      <c r="AZ43" s="28"/>
      <c r="BA43" s="28"/>
      <c r="BB43" s="28"/>
      <c r="BC43" s="28"/>
      <c r="BD43" s="28"/>
    </row>
    <row r="44" spans="1:56">
      <c r="A44" s="145">
        <v>36</v>
      </c>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20"/>
      <c r="AU44" s="20"/>
      <c r="AV44" s="20"/>
      <c r="AW44" s="21">
        <f t="shared" si="0"/>
        <v>0</v>
      </c>
      <c r="AX44" s="20"/>
      <c r="AY44" s="166"/>
      <c r="AZ44" s="28"/>
      <c r="BA44" s="28"/>
      <c r="BB44" s="28"/>
      <c r="BC44" s="28"/>
      <c r="BD44" s="28"/>
    </row>
    <row r="45" spans="1:56">
      <c r="A45" s="145">
        <v>37</v>
      </c>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20"/>
      <c r="AU45" s="20"/>
      <c r="AV45" s="20"/>
      <c r="AW45" s="21">
        <f t="shared" si="0"/>
        <v>0</v>
      </c>
      <c r="AX45" s="20"/>
      <c r="AY45" s="166"/>
      <c r="AZ45" s="28"/>
      <c r="BA45" s="28"/>
      <c r="BB45" s="28"/>
      <c r="BC45" s="28"/>
      <c r="BD45" s="28"/>
    </row>
    <row r="46" spans="1:56">
      <c r="A46" s="145">
        <v>38</v>
      </c>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20"/>
      <c r="AU46" s="20"/>
      <c r="AV46" s="20"/>
      <c r="AW46" s="21">
        <f t="shared" si="0"/>
        <v>0</v>
      </c>
      <c r="AX46" s="20"/>
      <c r="AY46" s="166"/>
      <c r="AZ46" s="28"/>
      <c r="BA46" s="28"/>
      <c r="BB46" s="28"/>
      <c r="BC46" s="28"/>
      <c r="BD46" s="28"/>
    </row>
    <row r="47" spans="1:56">
      <c r="A47" s="145">
        <v>39</v>
      </c>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20"/>
      <c r="AU47" s="20"/>
      <c r="AV47" s="20"/>
      <c r="AW47" s="21">
        <f t="shared" si="0"/>
        <v>0</v>
      </c>
      <c r="AX47" s="20"/>
      <c r="AY47" s="166"/>
      <c r="AZ47" s="28"/>
      <c r="BA47" s="28"/>
      <c r="BB47" s="28"/>
      <c r="BC47" s="28"/>
      <c r="BD47" s="28"/>
    </row>
    <row r="48" spans="1:56">
      <c r="A48" s="145">
        <v>40</v>
      </c>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20"/>
      <c r="AU48" s="20"/>
      <c r="AV48" s="20"/>
      <c r="AW48" s="21">
        <f t="shared" si="0"/>
        <v>0</v>
      </c>
      <c r="AX48" s="20"/>
      <c r="AY48" s="166"/>
      <c r="AZ48" s="28"/>
      <c r="BA48" s="28"/>
      <c r="BB48" s="28"/>
      <c r="BC48" s="28"/>
      <c r="BD48" s="28"/>
    </row>
    <row r="49" spans="1:56">
      <c r="A49" s="145">
        <v>41</v>
      </c>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20"/>
      <c r="AU49" s="20"/>
      <c r="AV49" s="20"/>
      <c r="AW49" s="21">
        <f t="shared" si="0"/>
        <v>0</v>
      </c>
      <c r="AX49" s="20"/>
      <c r="AY49" s="166"/>
      <c r="AZ49" s="28"/>
      <c r="BA49" s="28"/>
      <c r="BB49" s="28"/>
      <c r="BC49" s="28"/>
      <c r="BD49" s="28"/>
    </row>
    <row r="50" spans="1:56">
      <c r="A50" s="145">
        <v>42</v>
      </c>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20"/>
      <c r="AU50" s="20"/>
      <c r="AV50" s="20"/>
      <c r="AW50" s="21">
        <f t="shared" si="0"/>
        <v>0</v>
      </c>
      <c r="AX50" s="20"/>
      <c r="AY50" s="166"/>
      <c r="AZ50" s="28"/>
      <c r="BA50" s="28"/>
      <c r="BB50" s="28"/>
      <c r="BC50" s="28"/>
      <c r="BD50" s="28"/>
    </row>
    <row r="51" spans="1:56">
      <c r="A51" s="145">
        <v>43</v>
      </c>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20"/>
      <c r="AU51" s="20"/>
      <c r="AV51" s="20"/>
      <c r="AW51" s="21">
        <f t="shared" si="0"/>
        <v>0</v>
      </c>
      <c r="AX51" s="20"/>
      <c r="AY51" s="166"/>
      <c r="AZ51" s="28"/>
      <c r="BA51" s="28"/>
      <c r="BB51" s="28"/>
      <c r="BC51" s="28"/>
      <c r="BD51" s="28"/>
    </row>
    <row r="52" spans="1:56">
      <c r="A52" s="145">
        <v>44</v>
      </c>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20"/>
      <c r="AU52" s="20"/>
      <c r="AV52" s="20"/>
      <c r="AW52" s="21">
        <f t="shared" si="0"/>
        <v>0</v>
      </c>
      <c r="AX52" s="20"/>
      <c r="AY52" s="166"/>
      <c r="AZ52" s="28"/>
      <c r="BA52" s="28"/>
      <c r="BB52" s="28"/>
      <c r="BC52" s="28"/>
      <c r="BD52" s="28"/>
    </row>
    <row r="53" spans="1:56">
      <c r="A53" s="145">
        <v>45</v>
      </c>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20"/>
      <c r="AU53" s="20"/>
      <c r="AV53" s="20"/>
      <c r="AW53" s="21">
        <f t="shared" si="0"/>
        <v>0</v>
      </c>
      <c r="AX53" s="20"/>
      <c r="AY53" s="166"/>
      <c r="AZ53" s="28"/>
      <c r="BA53" s="28"/>
      <c r="BB53" s="28"/>
      <c r="BC53" s="28"/>
      <c r="BD53" s="28"/>
    </row>
    <row r="54" spans="1:56">
      <c r="A54" s="145">
        <v>46</v>
      </c>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20"/>
      <c r="AU54" s="20"/>
      <c r="AV54" s="20"/>
      <c r="AW54" s="21">
        <f t="shared" si="0"/>
        <v>0</v>
      </c>
      <c r="AX54" s="20"/>
      <c r="AY54" s="166"/>
      <c r="AZ54" s="28"/>
      <c r="BA54" s="28"/>
      <c r="BB54" s="28"/>
      <c r="BC54" s="28"/>
      <c r="BD54" s="28"/>
    </row>
    <row r="55" spans="1:56">
      <c r="A55" s="145">
        <v>47</v>
      </c>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20"/>
      <c r="AU55" s="20"/>
      <c r="AV55" s="20"/>
      <c r="AW55" s="21">
        <f t="shared" si="0"/>
        <v>0</v>
      </c>
      <c r="AX55" s="20"/>
      <c r="AY55" s="166"/>
      <c r="AZ55" s="28"/>
      <c r="BA55" s="28"/>
      <c r="BB55" s="28"/>
      <c r="BC55" s="28"/>
      <c r="BD55" s="28"/>
    </row>
    <row r="56" spans="1:56">
      <c r="A56" s="145">
        <v>48</v>
      </c>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20"/>
      <c r="AU56" s="20"/>
      <c r="AV56" s="20"/>
      <c r="AW56" s="21">
        <f t="shared" si="0"/>
        <v>0</v>
      </c>
      <c r="AX56" s="20"/>
      <c r="AY56" s="166"/>
      <c r="AZ56" s="28"/>
      <c r="BA56" s="28"/>
      <c r="BB56" s="28"/>
      <c r="BC56" s="28"/>
      <c r="BD56" s="28"/>
    </row>
    <row r="57" spans="1:56">
      <c r="A57" s="145">
        <v>49</v>
      </c>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20"/>
      <c r="AU57" s="20"/>
      <c r="AV57" s="20"/>
      <c r="AW57" s="21">
        <f t="shared" si="0"/>
        <v>0</v>
      </c>
      <c r="AX57" s="20"/>
      <c r="AY57" s="166"/>
      <c r="AZ57" s="28"/>
      <c r="BA57" s="28"/>
      <c r="BB57" s="28"/>
      <c r="BC57" s="28"/>
      <c r="BD57" s="28"/>
    </row>
    <row r="58" spans="1:56" ht="15" thickBot="1">
      <c r="A58" s="53">
        <v>50</v>
      </c>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95"/>
      <c r="AU58" s="95"/>
      <c r="AV58" s="95"/>
      <c r="AW58" s="229">
        <f t="shared" si="0"/>
        <v>0</v>
      </c>
      <c r="AX58" s="95"/>
      <c r="AY58" s="167"/>
      <c r="AZ58" s="28"/>
      <c r="BA58" s="28"/>
      <c r="BB58" s="28"/>
      <c r="BC58" s="28"/>
      <c r="BD58" s="28"/>
    </row>
    <row r="59" spans="1:56">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row>
    <row r="60" spans="1:56">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row>
    <row r="61" spans="1:56">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row>
    <row r="62" spans="1:56">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row>
    <row r="63" spans="1:56">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row>
    <row r="64" spans="1:56">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row>
    <row r="65" spans="1:56">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row>
    <row r="66" spans="1:5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row>
    <row r="67" spans="1:56">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row>
  </sheetData>
  <autoFilter ref="A8:AY8" xr:uid="{00000000-0009-0000-0000-00001A000000}"/>
  <mergeCells count="15">
    <mergeCell ref="A4:G4"/>
    <mergeCell ref="A5:G5"/>
    <mergeCell ref="M7:N7"/>
    <mergeCell ref="O7:P7"/>
    <mergeCell ref="Q7:S7"/>
    <mergeCell ref="J7:L7"/>
    <mergeCell ref="AJ7:AM7"/>
    <mergeCell ref="AN7:AO7"/>
    <mergeCell ref="AP7:AS7"/>
    <mergeCell ref="B7:I7"/>
    <mergeCell ref="AT7:AY7"/>
    <mergeCell ref="Y7:AI7"/>
    <mergeCell ref="W7:W8"/>
    <mergeCell ref="X7:X8"/>
    <mergeCell ref="T7:V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64"/>
  <sheetViews>
    <sheetView zoomScaleNormal="100" workbookViewId="0">
      <selection activeCell="G15" sqref="G15"/>
    </sheetView>
  </sheetViews>
  <sheetFormatPr baseColWidth="10" defaultRowHeight="14.5"/>
  <cols>
    <col min="5" max="5" width="19" customWidth="1"/>
    <col min="6" max="6" width="26.26953125" customWidth="1"/>
    <col min="7" max="7" width="19.7265625" customWidth="1"/>
    <col min="8" max="8" width="22.54296875" customWidth="1"/>
    <col min="9" max="10" width="20.54296875" customWidth="1"/>
    <col min="11" max="11" width="21.453125" customWidth="1"/>
    <col min="12" max="12" width="20.1796875" customWidth="1"/>
    <col min="13" max="13" width="20.54296875" customWidth="1"/>
  </cols>
  <sheetData>
    <row r="1" spans="1:16" ht="15.5">
      <c r="A1" s="98" t="s">
        <v>478</v>
      </c>
      <c r="B1" s="98"/>
      <c r="C1" s="98"/>
      <c r="D1" s="98"/>
      <c r="E1" s="98"/>
      <c r="F1" s="98"/>
      <c r="G1" s="28"/>
      <c r="H1" s="98"/>
      <c r="I1" s="28"/>
      <c r="J1" s="28"/>
      <c r="K1" s="28"/>
      <c r="L1" s="28"/>
      <c r="M1" s="28"/>
      <c r="N1" s="28"/>
      <c r="O1" s="28"/>
      <c r="P1" s="28"/>
    </row>
    <row r="2" spans="1:16" ht="15.5">
      <c r="A2" s="98"/>
      <c r="B2" s="98"/>
      <c r="C2" s="98"/>
      <c r="D2" s="98"/>
      <c r="E2" s="98"/>
      <c r="F2" s="98"/>
      <c r="G2" s="28"/>
      <c r="H2" s="98"/>
      <c r="I2" s="28"/>
      <c r="J2" s="28"/>
      <c r="K2" s="28"/>
      <c r="L2" s="28"/>
      <c r="M2" s="28"/>
      <c r="N2" s="28"/>
      <c r="O2" s="28"/>
      <c r="P2" s="28"/>
    </row>
    <row r="3" spans="1:16" ht="39" customHeight="1">
      <c r="A3" s="654" t="s">
        <v>511</v>
      </c>
      <c r="B3" s="654"/>
      <c r="C3" s="654"/>
      <c r="D3" s="654"/>
      <c r="E3" s="654"/>
      <c r="F3" s="654"/>
      <c r="G3" s="654"/>
      <c r="H3" s="654"/>
      <c r="I3" s="654"/>
      <c r="J3" s="265"/>
      <c r="K3" s="28"/>
      <c r="L3" s="28"/>
      <c r="M3" s="28"/>
      <c r="N3" s="28"/>
      <c r="O3" s="28"/>
      <c r="P3" s="28"/>
    </row>
    <row r="4" spans="1:16" ht="79" customHeight="1">
      <c r="A4" s="653" t="s">
        <v>512</v>
      </c>
      <c r="B4" s="653"/>
      <c r="C4" s="653"/>
      <c r="D4" s="653"/>
      <c r="E4" s="653"/>
      <c r="F4" s="653"/>
      <c r="G4" s="653"/>
      <c r="H4" s="653"/>
      <c r="I4" s="653"/>
      <c r="J4" s="266"/>
      <c r="K4" s="28"/>
      <c r="L4" s="28"/>
      <c r="M4" s="28"/>
      <c r="N4" s="28"/>
      <c r="O4" s="28"/>
      <c r="P4" s="28"/>
    </row>
    <row r="5" spans="1:16" ht="16" thickBot="1">
      <c r="A5" s="259"/>
      <c r="B5" s="259"/>
      <c r="C5" s="259"/>
      <c r="D5" s="259"/>
      <c r="E5" s="259"/>
      <c r="F5" s="259"/>
      <c r="G5" s="259"/>
      <c r="H5" s="259"/>
      <c r="I5" s="259"/>
      <c r="J5" s="259"/>
      <c r="K5" s="28"/>
      <c r="L5" s="28"/>
      <c r="M5" s="28"/>
      <c r="N5" s="28"/>
      <c r="O5" s="28"/>
      <c r="P5" s="28"/>
    </row>
    <row r="6" spans="1:16" ht="19.5" customHeight="1" thickBot="1">
      <c r="A6" s="259"/>
      <c r="B6" s="650" t="s">
        <v>452</v>
      </c>
      <c r="C6" s="651"/>
      <c r="D6" s="651"/>
      <c r="E6" s="651"/>
      <c r="F6" s="651"/>
      <c r="G6" s="651"/>
      <c r="H6" s="651"/>
      <c r="I6" s="652"/>
      <c r="J6" s="650" t="s">
        <v>455</v>
      </c>
      <c r="K6" s="651"/>
      <c r="L6" s="652"/>
      <c r="M6" s="28"/>
      <c r="N6" s="28"/>
      <c r="O6" s="28"/>
      <c r="P6" s="28"/>
    </row>
    <row r="7" spans="1:16" ht="43.5">
      <c r="A7" s="262" t="s">
        <v>29</v>
      </c>
      <c r="B7" s="263" t="s">
        <v>44</v>
      </c>
      <c r="C7" s="263" t="s">
        <v>447</v>
      </c>
      <c r="D7" s="263" t="s">
        <v>448</v>
      </c>
      <c r="E7" s="263" t="s">
        <v>48</v>
      </c>
      <c r="F7" s="263" t="s">
        <v>449</v>
      </c>
      <c r="G7" s="263" t="s">
        <v>450</v>
      </c>
      <c r="H7" s="263" t="s">
        <v>479</v>
      </c>
      <c r="I7" s="263" t="s">
        <v>451</v>
      </c>
      <c r="J7" s="263" t="s">
        <v>454</v>
      </c>
      <c r="K7" s="263" t="s">
        <v>453</v>
      </c>
      <c r="L7" s="264" t="s">
        <v>70</v>
      </c>
      <c r="M7" s="217" t="s">
        <v>0</v>
      </c>
      <c r="N7" s="28"/>
      <c r="O7" s="28"/>
      <c r="P7" s="28"/>
    </row>
    <row r="8" spans="1:16">
      <c r="A8" s="258">
        <v>1</v>
      </c>
      <c r="B8" s="20"/>
      <c r="C8" s="20"/>
      <c r="D8" s="20"/>
      <c r="E8" s="20"/>
      <c r="F8" s="20"/>
      <c r="G8" s="20"/>
      <c r="H8" s="20"/>
      <c r="I8" s="20"/>
      <c r="J8" s="20"/>
      <c r="K8" s="20"/>
      <c r="L8" s="20"/>
      <c r="M8" s="46"/>
      <c r="N8" s="28"/>
      <c r="O8" s="28"/>
      <c r="P8" s="28"/>
    </row>
    <row r="9" spans="1:16">
      <c r="A9" s="258">
        <v>2</v>
      </c>
      <c r="B9" s="20"/>
      <c r="C9" s="20"/>
      <c r="D9" s="20"/>
      <c r="E9" s="20"/>
      <c r="F9" s="20"/>
      <c r="G9" s="20"/>
      <c r="H9" s="20"/>
      <c r="I9" s="20"/>
      <c r="J9" s="20"/>
      <c r="K9" s="20"/>
      <c r="L9" s="20"/>
      <c r="M9" s="46"/>
      <c r="N9" s="28"/>
      <c r="O9" s="28"/>
      <c r="P9" s="28"/>
    </row>
    <row r="10" spans="1:16">
      <c r="A10" s="258">
        <v>3</v>
      </c>
      <c r="B10" s="20"/>
      <c r="C10" s="20"/>
      <c r="D10" s="20"/>
      <c r="E10" s="20"/>
      <c r="F10" s="20"/>
      <c r="G10" s="20"/>
      <c r="H10" s="20"/>
      <c r="I10" s="20"/>
      <c r="J10" s="20"/>
      <c r="K10" s="20"/>
      <c r="L10" s="20"/>
      <c r="M10" s="46"/>
      <c r="N10" s="28"/>
      <c r="O10" s="28"/>
      <c r="P10" s="28"/>
    </row>
    <row r="11" spans="1:16">
      <c r="A11" s="258">
        <v>4</v>
      </c>
      <c r="B11" s="20"/>
      <c r="C11" s="20"/>
      <c r="D11" s="20"/>
      <c r="E11" s="20"/>
      <c r="F11" s="20"/>
      <c r="G11" s="20"/>
      <c r="H11" s="20"/>
      <c r="I11" s="20"/>
      <c r="J11" s="20"/>
      <c r="K11" s="20"/>
      <c r="L11" s="20"/>
      <c r="M11" s="46"/>
      <c r="N11" s="28"/>
      <c r="O11" s="28"/>
      <c r="P11" s="28"/>
    </row>
    <row r="12" spans="1:16">
      <c r="A12" s="258">
        <v>5</v>
      </c>
      <c r="B12" s="20"/>
      <c r="C12" s="20"/>
      <c r="D12" s="20"/>
      <c r="E12" s="20"/>
      <c r="F12" s="20"/>
      <c r="G12" s="20"/>
      <c r="H12" s="20"/>
      <c r="I12" s="20"/>
      <c r="J12" s="20"/>
      <c r="K12" s="20"/>
      <c r="L12" s="20"/>
      <c r="M12" s="46"/>
      <c r="N12" s="28"/>
      <c r="O12" s="28"/>
      <c r="P12" s="28"/>
    </row>
    <row r="13" spans="1:16">
      <c r="A13" s="258">
        <v>6</v>
      </c>
      <c r="B13" s="20"/>
      <c r="C13" s="20"/>
      <c r="D13" s="20"/>
      <c r="E13" s="20"/>
      <c r="F13" s="20"/>
      <c r="G13" s="20"/>
      <c r="H13" s="20"/>
      <c r="I13" s="20"/>
      <c r="J13" s="20"/>
      <c r="K13" s="20"/>
      <c r="L13" s="20"/>
      <c r="M13" s="46"/>
      <c r="N13" s="28"/>
      <c r="O13" s="28"/>
      <c r="P13" s="28"/>
    </row>
    <row r="14" spans="1:16">
      <c r="A14" s="258">
        <v>7</v>
      </c>
      <c r="B14" s="20"/>
      <c r="C14" s="20"/>
      <c r="D14" s="20"/>
      <c r="E14" s="20"/>
      <c r="F14" s="20"/>
      <c r="G14" s="20"/>
      <c r="H14" s="20"/>
      <c r="I14" s="20"/>
      <c r="J14" s="20"/>
      <c r="K14" s="20"/>
      <c r="L14" s="20"/>
      <c r="M14" s="46"/>
      <c r="N14" s="28"/>
      <c r="O14" s="28"/>
      <c r="P14" s="28"/>
    </row>
    <row r="15" spans="1:16">
      <c r="A15" s="258">
        <v>8</v>
      </c>
      <c r="B15" s="20"/>
      <c r="C15" s="20"/>
      <c r="D15" s="20"/>
      <c r="E15" s="20"/>
      <c r="F15" s="20"/>
      <c r="G15" s="20"/>
      <c r="H15" s="20"/>
      <c r="I15" s="20"/>
      <c r="J15" s="20"/>
      <c r="K15" s="20"/>
      <c r="L15" s="20"/>
      <c r="M15" s="46"/>
      <c r="N15" s="28"/>
      <c r="O15" s="28"/>
      <c r="P15" s="28"/>
    </row>
    <row r="16" spans="1:16">
      <c r="A16" s="258">
        <v>9</v>
      </c>
      <c r="B16" s="20"/>
      <c r="C16" s="20"/>
      <c r="D16" s="20"/>
      <c r="E16" s="20"/>
      <c r="F16" s="20"/>
      <c r="G16" s="20"/>
      <c r="H16" s="20"/>
      <c r="I16" s="20"/>
      <c r="J16" s="20"/>
      <c r="K16" s="20"/>
      <c r="L16" s="20"/>
      <c r="M16" s="46"/>
      <c r="N16" s="28"/>
      <c r="O16" s="28"/>
      <c r="P16" s="28"/>
    </row>
    <row r="17" spans="1:16">
      <c r="A17" s="258">
        <v>10</v>
      </c>
      <c r="B17" s="20"/>
      <c r="C17" s="20"/>
      <c r="D17" s="20"/>
      <c r="E17" s="20"/>
      <c r="F17" s="20"/>
      <c r="G17" s="20"/>
      <c r="H17" s="20"/>
      <c r="I17" s="20"/>
      <c r="J17" s="20"/>
      <c r="K17" s="20"/>
      <c r="L17" s="20"/>
      <c r="M17" s="46"/>
      <c r="N17" s="28"/>
      <c r="O17" s="28"/>
      <c r="P17" s="28"/>
    </row>
    <row r="18" spans="1:16">
      <c r="A18" s="258">
        <v>11</v>
      </c>
      <c r="B18" s="20"/>
      <c r="C18" s="20"/>
      <c r="D18" s="20"/>
      <c r="E18" s="20"/>
      <c r="F18" s="20"/>
      <c r="G18" s="20"/>
      <c r="H18" s="20"/>
      <c r="I18" s="20"/>
      <c r="J18" s="20"/>
      <c r="K18" s="20"/>
      <c r="L18" s="20"/>
      <c r="M18" s="46"/>
      <c r="N18" s="28"/>
      <c r="O18" s="28"/>
      <c r="P18" s="28"/>
    </row>
    <row r="19" spans="1:16">
      <c r="A19" s="258">
        <v>12</v>
      </c>
      <c r="B19" s="20"/>
      <c r="C19" s="20"/>
      <c r="D19" s="20"/>
      <c r="E19" s="20"/>
      <c r="F19" s="20"/>
      <c r="G19" s="20"/>
      <c r="H19" s="20"/>
      <c r="I19" s="20"/>
      <c r="J19" s="20"/>
      <c r="K19" s="20"/>
      <c r="L19" s="20"/>
      <c r="M19" s="46"/>
      <c r="N19" s="28"/>
      <c r="O19" s="28"/>
      <c r="P19" s="28"/>
    </row>
    <row r="20" spans="1:16">
      <c r="A20" s="258">
        <v>13</v>
      </c>
      <c r="B20" s="20"/>
      <c r="C20" s="20"/>
      <c r="D20" s="20"/>
      <c r="E20" s="20"/>
      <c r="F20" s="20"/>
      <c r="G20" s="20"/>
      <c r="H20" s="20"/>
      <c r="I20" s="20"/>
      <c r="J20" s="20"/>
      <c r="K20" s="20"/>
      <c r="L20" s="20"/>
      <c r="M20" s="46"/>
      <c r="N20" s="28"/>
      <c r="O20" s="28"/>
      <c r="P20" s="28"/>
    </row>
    <row r="21" spans="1:16">
      <c r="A21" s="258">
        <v>14</v>
      </c>
      <c r="B21" s="20"/>
      <c r="C21" s="20"/>
      <c r="D21" s="20"/>
      <c r="E21" s="20"/>
      <c r="F21" s="20"/>
      <c r="G21" s="20"/>
      <c r="H21" s="20"/>
      <c r="I21" s="20"/>
      <c r="J21" s="20"/>
      <c r="K21" s="20"/>
      <c r="L21" s="20"/>
      <c r="M21" s="46"/>
      <c r="N21" s="28"/>
      <c r="O21" s="28"/>
      <c r="P21" s="28"/>
    </row>
    <row r="22" spans="1:16">
      <c r="A22" s="258">
        <v>15</v>
      </c>
      <c r="B22" s="20"/>
      <c r="C22" s="20"/>
      <c r="D22" s="20"/>
      <c r="E22" s="20"/>
      <c r="F22" s="20"/>
      <c r="G22" s="20"/>
      <c r="H22" s="20"/>
      <c r="I22" s="20"/>
      <c r="J22" s="20"/>
      <c r="K22" s="20"/>
      <c r="L22" s="20"/>
      <c r="M22" s="46"/>
      <c r="N22" s="28"/>
      <c r="O22" s="28"/>
      <c r="P22" s="28"/>
    </row>
    <row r="23" spans="1:16">
      <c r="A23" s="258">
        <v>16</v>
      </c>
      <c r="B23" s="20"/>
      <c r="C23" s="20"/>
      <c r="D23" s="20"/>
      <c r="E23" s="20"/>
      <c r="F23" s="20"/>
      <c r="G23" s="20"/>
      <c r="H23" s="20"/>
      <c r="I23" s="20"/>
      <c r="J23" s="20"/>
      <c r="K23" s="20"/>
      <c r="L23" s="20"/>
      <c r="M23" s="46"/>
      <c r="N23" s="28"/>
      <c r="O23" s="28"/>
      <c r="P23" s="28"/>
    </row>
    <row r="24" spans="1:16">
      <c r="A24" s="258">
        <v>17</v>
      </c>
      <c r="B24" s="20"/>
      <c r="C24" s="20"/>
      <c r="D24" s="20"/>
      <c r="E24" s="20"/>
      <c r="F24" s="20"/>
      <c r="G24" s="20"/>
      <c r="H24" s="20"/>
      <c r="I24" s="20"/>
      <c r="J24" s="20"/>
      <c r="K24" s="20"/>
      <c r="L24" s="20"/>
      <c r="M24" s="46"/>
      <c r="N24" s="28"/>
      <c r="O24" s="28"/>
      <c r="P24" s="28"/>
    </row>
    <row r="25" spans="1:16">
      <c r="A25" s="258">
        <v>18</v>
      </c>
      <c r="B25" s="20"/>
      <c r="C25" s="20"/>
      <c r="D25" s="20"/>
      <c r="E25" s="20"/>
      <c r="F25" s="20"/>
      <c r="G25" s="20"/>
      <c r="H25" s="20"/>
      <c r="I25" s="20"/>
      <c r="J25" s="20"/>
      <c r="K25" s="20"/>
      <c r="L25" s="20"/>
      <c r="M25" s="46"/>
      <c r="N25" s="28"/>
      <c r="O25" s="28"/>
      <c r="P25" s="28"/>
    </row>
    <row r="26" spans="1:16">
      <c r="A26" s="258">
        <v>19</v>
      </c>
      <c r="B26" s="20"/>
      <c r="C26" s="20"/>
      <c r="D26" s="20"/>
      <c r="E26" s="20"/>
      <c r="F26" s="20"/>
      <c r="G26" s="20"/>
      <c r="H26" s="20"/>
      <c r="I26" s="20"/>
      <c r="J26" s="20"/>
      <c r="K26" s="20"/>
      <c r="L26" s="20"/>
      <c r="M26" s="46"/>
      <c r="N26" s="28"/>
      <c r="O26" s="28"/>
      <c r="P26" s="28"/>
    </row>
    <row r="27" spans="1:16">
      <c r="A27" s="258">
        <v>20</v>
      </c>
      <c r="B27" s="20"/>
      <c r="C27" s="20"/>
      <c r="D27" s="20"/>
      <c r="E27" s="20"/>
      <c r="F27" s="20"/>
      <c r="G27" s="20"/>
      <c r="H27" s="20"/>
      <c r="I27" s="20"/>
      <c r="J27" s="20"/>
      <c r="K27" s="20"/>
      <c r="L27" s="20"/>
      <c r="M27" s="46"/>
      <c r="N27" s="28"/>
      <c r="O27" s="28"/>
      <c r="P27" s="28"/>
    </row>
    <row r="28" spans="1:16">
      <c r="A28" s="258">
        <v>21</v>
      </c>
      <c r="B28" s="20"/>
      <c r="C28" s="20"/>
      <c r="D28" s="20"/>
      <c r="E28" s="20"/>
      <c r="F28" s="20"/>
      <c r="G28" s="20"/>
      <c r="H28" s="20"/>
      <c r="I28" s="20"/>
      <c r="J28" s="20"/>
      <c r="K28" s="20"/>
      <c r="L28" s="20"/>
      <c r="M28" s="46"/>
      <c r="N28" s="28"/>
      <c r="O28" s="28"/>
      <c r="P28" s="28"/>
    </row>
    <row r="29" spans="1:16">
      <c r="A29" s="258">
        <v>22</v>
      </c>
      <c r="B29" s="20"/>
      <c r="C29" s="20"/>
      <c r="D29" s="20"/>
      <c r="E29" s="20"/>
      <c r="F29" s="20"/>
      <c r="G29" s="20"/>
      <c r="H29" s="20"/>
      <c r="I29" s="20"/>
      <c r="J29" s="20"/>
      <c r="K29" s="20"/>
      <c r="L29" s="20"/>
      <c r="M29" s="46"/>
      <c r="N29" s="28"/>
      <c r="O29" s="28"/>
      <c r="P29" s="28"/>
    </row>
    <row r="30" spans="1:16">
      <c r="A30" s="258">
        <v>23</v>
      </c>
      <c r="B30" s="20"/>
      <c r="C30" s="20"/>
      <c r="D30" s="20"/>
      <c r="E30" s="20"/>
      <c r="F30" s="20"/>
      <c r="G30" s="20"/>
      <c r="H30" s="20"/>
      <c r="I30" s="20"/>
      <c r="J30" s="20"/>
      <c r="K30" s="20"/>
      <c r="L30" s="20"/>
      <c r="M30" s="46"/>
      <c r="N30" s="28"/>
      <c r="O30" s="28"/>
      <c r="P30" s="28"/>
    </row>
    <row r="31" spans="1:16">
      <c r="A31" s="258">
        <v>24</v>
      </c>
      <c r="B31" s="20"/>
      <c r="C31" s="20"/>
      <c r="D31" s="20"/>
      <c r="E31" s="20"/>
      <c r="F31" s="20"/>
      <c r="G31" s="20"/>
      <c r="H31" s="20"/>
      <c r="I31" s="20"/>
      <c r="J31" s="20"/>
      <c r="K31" s="20"/>
      <c r="L31" s="20"/>
      <c r="M31" s="46"/>
      <c r="N31" s="28"/>
      <c r="O31" s="28"/>
      <c r="P31" s="28"/>
    </row>
    <row r="32" spans="1:16">
      <c r="A32" s="258">
        <v>25</v>
      </c>
      <c r="B32" s="20"/>
      <c r="C32" s="20"/>
      <c r="D32" s="20"/>
      <c r="E32" s="20"/>
      <c r="F32" s="20"/>
      <c r="G32" s="20"/>
      <c r="H32" s="20"/>
      <c r="I32" s="20"/>
      <c r="J32" s="20"/>
      <c r="K32" s="20"/>
      <c r="L32" s="20"/>
      <c r="M32" s="46"/>
      <c r="N32" s="28"/>
      <c r="O32" s="28"/>
      <c r="P32" s="28"/>
    </row>
    <row r="33" spans="1:16">
      <c r="A33" s="258">
        <v>26</v>
      </c>
      <c r="B33" s="20"/>
      <c r="C33" s="20"/>
      <c r="D33" s="20"/>
      <c r="E33" s="20"/>
      <c r="F33" s="20"/>
      <c r="G33" s="20"/>
      <c r="H33" s="20"/>
      <c r="I33" s="20"/>
      <c r="J33" s="20"/>
      <c r="K33" s="20"/>
      <c r="L33" s="20"/>
      <c r="M33" s="46"/>
      <c r="N33" s="28"/>
      <c r="O33" s="28"/>
      <c r="P33" s="28"/>
    </row>
    <row r="34" spans="1:16">
      <c r="A34" s="258">
        <v>27</v>
      </c>
      <c r="B34" s="20"/>
      <c r="C34" s="20"/>
      <c r="D34" s="20"/>
      <c r="E34" s="20"/>
      <c r="F34" s="20"/>
      <c r="G34" s="20"/>
      <c r="H34" s="20"/>
      <c r="I34" s="20"/>
      <c r="J34" s="20"/>
      <c r="K34" s="20"/>
      <c r="L34" s="20"/>
      <c r="M34" s="46"/>
      <c r="N34" s="28"/>
      <c r="O34" s="28"/>
      <c r="P34" s="28"/>
    </row>
    <row r="35" spans="1:16">
      <c r="A35" s="258">
        <v>28</v>
      </c>
      <c r="B35" s="20"/>
      <c r="C35" s="20"/>
      <c r="D35" s="20"/>
      <c r="E35" s="20"/>
      <c r="F35" s="20"/>
      <c r="G35" s="20"/>
      <c r="H35" s="20"/>
      <c r="I35" s="20"/>
      <c r="J35" s="20"/>
      <c r="K35" s="20"/>
      <c r="L35" s="20"/>
      <c r="M35" s="46"/>
      <c r="N35" s="28"/>
      <c r="O35" s="28"/>
      <c r="P35" s="28"/>
    </row>
    <row r="36" spans="1:16">
      <c r="A36" s="258">
        <v>29</v>
      </c>
      <c r="B36" s="20"/>
      <c r="C36" s="20"/>
      <c r="D36" s="20"/>
      <c r="E36" s="20"/>
      <c r="F36" s="20"/>
      <c r="G36" s="20"/>
      <c r="H36" s="20"/>
      <c r="I36" s="20"/>
      <c r="J36" s="20"/>
      <c r="K36" s="20"/>
      <c r="L36" s="20"/>
      <c r="M36" s="46"/>
      <c r="N36" s="28"/>
      <c r="O36" s="28"/>
      <c r="P36" s="28"/>
    </row>
    <row r="37" spans="1:16">
      <c r="A37" s="258">
        <v>30</v>
      </c>
      <c r="B37" s="20"/>
      <c r="C37" s="20"/>
      <c r="D37" s="20"/>
      <c r="E37" s="20"/>
      <c r="F37" s="20"/>
      <c r="G37" s="20"/>
      <c r="H37" s="20"/>
      <c r="I37" s="20"/>
      <c r="J37" s="20"/>
      <c r="K37" s="20"/>
      <c r="L37" s="20"/>
      <c r="M37" s="46"/>
      <c r="N37" s="28"/>
      <c r="O37" s="28"/>
      <c r="P37" s="28"/>
    </row>
    <row r="38" spans="1:16">
      <c r="A38" s="258">
        <v>31</v>
      </c>
      <c r="B38" s="20"/>
      <c r="C38" s="20"/>
      <c r="D38" s="20"/>
      <c r="E38" s="20"/>
      <c r="F38" s="20"/>
      <c r="G38" s="20"/>
      <c r="H38" s="20"/>
      <c r="I38" s="20"/>
      <c r="J38" s="20"/>
      <c r="K38" s="20"/>
      <c r="L38" s="20"/>
      <c r="M38" s="46"/>
      <c r="N38" s="28"/>
      <c r="O38" s="28"/>
      <c r="P38" s="28"/>
    </row>
    <row r="39" spans="1:16">
      <c r="A39" s="258">
        <v>32</v>
      </c>
      <c r="B39" s="20"/>
      <c r="C39" s="20"/>
      <c r="D39" s="20"/>
      <c r="E39" s="20"/>
      <c r="F39" s="20"/>
      <c r="G39" s="20"/>
      <c r="H39" s="20"/>
      <c r="I39" s="20"/>
      <c r="J39" s="20"/>
      <c r="K39" s="20"/>
      <c r="L39" s="20"/>
      <c r="M39" s="46"/>
      <c r="N39" s="28"/>
      <c r="O39" s="28"/>
      <c r="P39" s="28"/>
    </row>
    <row r="40" spans="1:16">
      <c r="A40" s="258">
        <v>33</v>
      </c>
      <c r="B40" s="20"/>
      <c r="C40" s="20"/>
      <c r="D40" s="20"/>
      <c r="E40" s="20"/>
      <c r="F40" s="20"/>
      <c r="G40" s="20"/>
      <c r="H40" s="20"/>
      <c r="I40" s="20"/>
      <c r="J40" s="20"/>
      <c r="K40" s="20"/>
      <c r="L40" s="20"/>
      <c r="M40" s="46"/>
      <c r="N40" s="28"/>
      <c r="O40" s="28"/>
      <c r="P40" s="28"/>
    </row>
    <row r="41" spans="1:16">
      <c r="A41" s="258">
        <v>34</v>
      </c>
      <c r="B41" s="20"/>
      <c r="C41" s="20"/>
      <c r="D41" s="20"/>
      <c r="E41" s="20"/>
      <c r="F41" s="20"/>
      <c r="G41" s="20"/>
      <c r="H41" s="20"/>
      <c r="I41" s="20"/>
      <c r="J41" s="20"/>
      <c r="K41" s="20"/>
      <c r="L41" s="20"/>
      <c r="M41" s="46"/>
      <c r="N41" s="28"/>
      <c r="O41" s="28"/>
      <c r="P41" s="28"/>
    </row>
    <row r="42" spans="1:16">
      <c r="A42" s="258">
        <v>35</v>
      </c>
      <c r="B42" s="20"/>
      <c r="C42" s="20"/>
      <c r="D42" s="20"/>
      <c r="E42" s="20"/>
      <c r="F42" s="20"/>
      <c r="G42" s="20"/>
      <c r="H42" s="20"/>
      <c r="I42" s="20"/>
      <c r="J42" s="20"/>
      <c r="K42" s="20"/>
      <c r="L42" s="20"/>
      <c r="M42" s="46"/>
      <c r="N42" s="28"/>
      <c r="O42" s="28"/>
      <c r="P42" s="28"/>
    </row>
    <row r="43" spans="1:16">
      <c r="A43" s="258">
        <v>36</v>
      </c>
      <c r="B43" s="20"/>
      <c r="C43" s="20"/>
      <c r="D43" s="20"/>
      <c r="E43" s="20"/>
      <c r="F43" s="20"/>
      <c r="G43" s="20"/>
      <c r="H43" s="20"/>
      <c r="I43" s="20"/>
      <c r="J43" s="20"/>
      <c r="K43" s="20"/>
      <c r="L43" s="20"/>
      <c r="M43" s="46"/>
      <c r="N43" s="28"/>
      <c r="O43" s="28"/>
      <c r="P43" s="28"/>
    </row>
    <row r="44" spans="1:16">
      <c r="A44" s="258">
        <v>37</v>
      </c>
      <c r="B44" s="20"/>
      <c r="C44" s="20"/>
      <c r="D44" s="20"/>
      <c r="E44" s="20"/>
      <c r="F44" s="20"/>
      <c r="G44" s="20"/>
      <c r="H44" s="20"/>
      <c r="I44" s="20"/>
      <c r="J44" s="20"/>
      <c r="K44" s="20"/>
      <c r="L44" s="20"/>
      <c r="M44" s="46"/>
      <c r="N44" s="28"/>
      <c r="O44" s="28"/>
      <c r="P44" s="28"/>
    </row>
    <row r="45" spans="1:16">
      <c r="A45" s="258">
        <v>38</v>
      </c>
      <c r="B45" s="20"/>
      <c r="C45" s="20"/>
      <c r="D45" s="20"/>
      <c r="E45" s="20"/>
      <c r="F45" s="20"/>
      <c r="G45" s="20"/>
      <c r="H45" s="20"/>
      <c r="I45" s="20"/>
      <c r="J45" s="20"/>
      <c r="K45" s="20"/>
      <c r="L45" s="20"/>
      <c r="M45" s="46"/>
      <c r="N45" s="28"/>
      <c r="O45" s="28"/>
      <c r="P45" s="28"/>
    </row>
    <row r="46" spans="1:16">
      <c r="A46" s="258">
        <v>39</v>
      </c>
      <c r="B46" s="20"/>
      <c r="C46" s="20"/>
      <c r="D46" s="20"/>
      <c r="E46" s="20"/>
      <c r="F46" s="20"/>
      <c r="G46" s="20"/>
      <c r="H46" s="20"/>
      <c r="I46" s="20"/>
      <c r="J46" s="20"/>
      <c r="K46" s="20"/>
      <c r="L46" s="20"/>
      <c r="M46" s="46"/>
      <c r="N46" s="28"/>
      <c r="O46" s="28"/>
      <c r="P46" s="28"/>
    </row>
    <row r="47" spans="1:16">
      <c r="A47" s="258">
        <v>40</v>
      </c>
      <c r="B47" s="20"/>
      <c r="C47" s="20"/>
      <c r="D47" s="20"/>
      <c r="E47" s="20"/>
      <c r="F47" s="20"/>
      <c r="G47" s="20"/>
      <c r="H47" s="20"/>
      <c r="I47" s="20"/>
      <c r="J47" s="20"/>
      <c r="K47" s="20"/>
      <c r="L47" s="20"/>
      <c r="M47" s="46"/>
      <c r="N47" s="28"/>
      <c r="O47" s="28"/>
      <c r="P47" s="28"/>
    </row>
    <row r="48" spans="1:16">
      <c r="A48" s="258">
        <v>41</v>
      </c>
      <c r="B48" s="20"/>
      <c r="C48" s="20"/>
      <c r="D48" s="20"/>
      <c r="E48" s="20"/>
      <c r="F48" s="20"/>
      <c r="G48" s="20"/>
      <c r="H48" s="20"/>
      <c r="I48" s="20"/>
      <c r="J48" s="20"/>
      <c r="K48" s="20"/>
      <c r="L48" s="20"/>
      <c r="M48" s="46"/>
      <c r="N48" s="28"/>
      <c r="O48" s="28"/>
      <c r="P48" s="28"/>
    </row>
    <row r="49" spans="1:16">
      <c r="A49" s="258">
        <v>42</v>
      </c>
      <c r="B49" s="20"/>
      <c r="C49" s="20"/>
      <c r="D49" s="20"/>
      <c r="E49" s="20"/>
      <c r="F49" s="20"/>
      <c r="G49" s="20"/>
      <c r="H49" s="20"/>
      <c r="I49" s="20"/>
      <c r="J49" s="20"/>
      <c r="K49" s="20"/>
      <c r="L49" s="20"/>
      <c r="M49" s="46"/>
      <c r="N49" s="28"/>
      <c r="O49" s="28"/>
      <c r="P49" s="28"/>
    </row>
    <row r="50" spans="1:16">
      <c r="A50" s="258">
        <v>43</v>
      </c>
      <c r="B50" s="20"/>
      <c r="C50" s="20"/>
      <c r="D50" s="20"/>
      <c r="E50" s="20"/>
      <c r="F50" s="20"/>
      <c r="G50" s="20"/>
      <c r="H50" s="20"/>
      <c r="I50" s="20"/>
      <c r="J50" s="20"/>
      <c r="K50" s="20"/>
      <c r="L50" s="20"/>
      <c r="M50" s="46"/>
      <c r="N50" s="28"/>
      <c r="O50" s="28"/>
      <c r="P50" s="28"/>
    </row>
    <row r="51" spans="1:16">
      <c r="A51" s="258">
        <v>44</v>
      </c>
      <c r="B51" s="20"/>
      <c r="C51" s="20"/>
      <c r="D51" s="20"/>
      <c r="E51" s="20"/>
      <c r="F51" s="20"/>
      <c r="G51" s="20"/>
      <c r="H51" s="20"/>
      <c r="I51" s="20"/>
      <c r="J51" s="20"/>
      <c r="K51" s="20"/>
      <c r="L51" s="20"/>
      <c r="M51" s="46"/>
      <c r="N51" s="28"/>
      <c r="O51" s="28"/>
      <c r="P51" s="28"/>
    </row>
    <row r="52" spans="1:16">
      <c r="A52" s="258">
        <v>45</v>
      </c>
      <c r="B52" s="20"/>
      <c r="C52" s="20"/>
      <c r="D52" s="20"/>
      <c r="E52" s="20"/>
      <c r="F52" s="20"/>
      <c r="G52" s="20"/>
      <c r="H52" s="20"/>
      <c r="I52" s="20"/>
      <c r="J52" s="20"/>
      <c r="K52" s="20"/>
      <c r="L52" s="20"/>
      <c r="M52" s="46"/>
      <c r="N52" s="28"/>
      <c r="O52" s="28"/>
      <c r="P52" s="28"/>
    </row>
    <row r="53" spans="1:16">
      <c r="A53" s="258">
        <v>46</v>
      </c>
      <c r="B53" s="20"/>
      <c r="C53" s="20"/>
      <c r="D53" s="20"/>
      <c r="E53" s="20"/>
      <c r="F53" s="20"/>
      <c r="G53" s="20"/>
      <c r="H53" s="20"/>
      <c r="I53" s="20"/>
      <c r="J53" s="20"/>
      <c r="K53" s="20"/>
      <c r="L53" s="20"/>
      <c r="M53" s="46"/>
      <c r="N53" s="28"/>
      <c r="O53" s="28"/>
      <c r="P53" s="28"/>
    </row>
    <row r="54" spans="1:16">
      <c r="A54" s="258">
        <v>47</v>
      </c>
      <c r="B54" s="20"/>
      <c r="C54" s="20"/>
      <c r="D54" s="20"/>
      <c r="E54" s="20"/>
      <c r="F54" s="20"/>
      <c r="G54" s="20"/>
      <c r="H54" s="20"/>
      <c r="I54" s="20"/>
      <c r="J54" s="20"/>
      <c r="K54" s="20"/>
      <c r="L54" s="20"/>
      <c r="M54" s="46"/>
      <c r="N54" s="28"/>
      <c r="O54" s="28"/>
      <c r="P54" s="28"/>
    </row>
    <row r="55" spans="1:16">
      <c r="A55" s="258">
        <v>48</v>
      </c>
      <c r="B55" s="20"/>
      <c r="C55" s="20"/>
      <c r="D55" s="20"/>
      <c r="E55" s="20"/>
      <c r="F55" s="20"/>
      <c r="G55" s="20"/>
      <c r="H55" s="20"/>
      <c r="I55" s="20"/>
      <c r="J55" s="20"/>
      <c r="K55" s="20"/>
      <c r="L55" s="20"/>
      <c r="M55" s="46"/>
      <c r="N55" s="28"/>
      <c r="O55" s="28"/>
      <c r="P55" s="28"/>
    </row>
    <row r="56" spans="1:16">
      <c r="A56" s="258">
        <v>49</v>
      </c>
      <c r="B56" s="20"/>
      <c r="C56" s="20"/>
      <c r="D56" s="20"/>
      <c r="E56" s="20"/>
      <c r="F56" s="20"/>
      <c r="G56" s="20"/>
      <c r="H56" s="20"/>
      <c r="I56" s="20"/>
      <c r="J56" s="20"/>
      <c r="K56" s="20"/>
      <c r="L56" s="20"/>
      <c r="M56" s="46"/>
      <c r="N56" s="28"/>
      <c r="O56" s="28"/>
      <c r="P56" s="28"/>
    </row>
    <row r="57" spans="1:16" ht="15" thickBot="1">
      <c r="A57" s="53">
        <v>50</v>
      </c>
      <c r="B57" s="95"/>
      <c r="C57" s="95"/>
      <c r="D57" s="95"/>
      <c r="E57" s="95"/>
      <c r="F57" s="95"/>
      <c r="G57" s="95"/>
      <c r="H57" s="95"/>
      <c r="I57" s="95"/>
      <c r="J57" s="95"/>
      <c r="K57" s="95"/>
      <c r="L57" s="95"/>
      <c r="M57" s="49"/>
      <c r="N57" s="28"/>
      <c r="O57" s="28"/>
      <c r="P57" s="28"/>
    </row>
    <row r="58" spans="1:16">
      <c r="A58" s="28"/>
      <c r="B58" s="28"/>
      <c r="C58" s="28"/>
      <c r="D58" s="28"/>
      <c r="E58" s="28"/>
      <c r="F58" s="28"/>
      <c r="G58" s="28"/>
      <c r="H58" s="28"/>
      <c r="I58" s="28"/>
      <c r="J58" s="28"/>
      <c r="K58" s="28"/>
      <c r="L58" s="28"/>
      <c r="M58" s="28"/>
      <c r="N58" s="28"/>
      <c r="O58" s="28"/>
      <c r="P58" s="28"/>
    </row>
    <row r="59" spans="1:16">
      <c r="A59" s="28"/>
      <c r="B59" s="28"/>
      <c r="C59" s="28"/>
      <c r="D59" s="28"/>
      <c r="E59" s="28"/>
      <c r="F59" s="28"/>
      <c r="G59" s="28"/>
      <c r="H59" s="28"/>
      <c r="I59" s="28"/>
      <c r="J59" s="28"/>
      <c r="K59" s="28"/>
      <c r="L59" s="28"/>
      <c r="M59" s="28"/>
      <c r="N59" s="28"/>
      <c r="O59" s="28"/>
      <c r="P59" s="28"/>
    </row>
    <row r="60" spans="1:16">
      <c r="A60" s="28"/>
      <c r="B60" s="28"/>
      <c r="C60" s="28"/>
      <c r="D60" s="28"/>
      <c r="E60" s="28"/>
      <c r="F60" s="28"/>
      <c r="G60" s="28"/>
      <c r="H60" s="28"/>
      <c r="I60" s="28"/>
      <c r="J60" s="28"/>
      <c r="K60" s="28"/>
      <c r="L60" s="28"/>
      <c r="M60" s="28"/>
      <c r="N60" s="28"/>
      <c r="O60" s="28"/>
      <c r="P60" s="28"/>
    </row>
    <row r="61" spans="1:16">
      <c r="A61" s="28"/>
      <c r="B61" s="28"/>
      <c r="C61" s="28"/>
      <c r="D61" s="28"/>
      <c r="E61" s="28"/>
      <c r="F61" s="28"/>
      <c r="G61" s="28"/>
      <c r="H61" s="28"/>
      <c r="I61" s="28"/>
      <c r="J61" s="28"/>
      <c r="K61" s="28"/>
      <c r="L61" s="28"/>
      <c r="M61" s="28"/>
      <c r="N61" s="28"/>
      <c r="O61" s="28"/>
      <c r="P61" s="28"/>
    </row>
    <row r="62" spans="1:16">
      <c r="A62" s="28"/>
      <c r="B62" s="28"/>
      <c r="C62" s="28"/>
      <c r="D62" s="28"/>
      <c r="E62" s="28"/>
      <c r="F62" s="28"/>
      <c r="G62" s="28"/>
      <c r="H62" s="28"/>
      <c r="I62" s="28"/>
      <c r="J62" s="28"/>
      <c r="K62" s="28"/>
      <c r="L62" s="28"/>
      <c r="M62" s="28"/>
      <c r="N62" s="28"/>
      <c r="O62" s="28"/>
      <c r="P62" s="28"/>
    </row>
    <row r="63" spans="1:16">
      <c r="A63" s="28"/>
      <c r="B63" s="28"/>
      <c r="C63" s="28"/>
      <c r="D63" s="28"/>
      <c r="E63" s="28"/>
      <c r="F63" s="28"/>
      <c r="G63" s="28"/>
      <c r="H63" s="28"/>
      <c r="I63" s="28"/>
      <c r="J63" s="28"/>
      <c r="K63" s="28"/>
      <c r="L63" s="28"/>
      <c r="M63" s="28"/>
      <c r="N63" s="28"/>
      <c r="O63" s="28"/>
      <c r="P63" s="28"/>
    </row>
    <row r="64" spans="1:16">
      <c r="A64" s="28"/>
      <c r="B64" s="28"/>
      <c r="C64" s="28"/>
      <c r="D64" s="28"/>
      <c r="E64" s="28"/>
      <c r="F64" s="28"/>
      <c r="G64" s="28"/>
      <c r="H64" s="28"/>
      <c r="I64" s="28"/>
      <c r="J64" s="28"/>
      <c r="K64" s="28"/>
      <c r="L64" s="28"/>
      <c r="M64" s="28"/>
      <c r="N64" s="28"/>
      <c r="O64" s="28"/>
      <c r="P64" s="28"/>
    </row>
  </sheetData>
  <mergeCells count="4">
    <mergeCell ref="J6:L6"/>
    <mergeCell ref="B6:I6"/>
    <mergeCell ref="A4:I4"/>
    <mergeCell ref="A3:I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7"/>
  <dimension ref="A1:U64"/>
  <sheetViews>
    <sheetView zoomScaleNormal="100" workbookViewId="0">
      <selection activeCell="C5" sqref="C5"/>
    </sheetView>
  </sheetViews>
  <sheetFormatPr baseColWidth="10" defaultRowHeight="14.5"/>
  <cols>
    <col min="1" max="1" width="6.453125" customWidth="1"/>
    <col min="3" max="3" width="17" customWidth="1"/>
    <col min="4" max="8" width="16" customWidth="1"/>
    <col min="10" max="10" width="15.453125" customWidth="1"/>
    <col min="12" max="12" width="16.81640625" customWidth="1"/>
    <col min="13" max="13" width="25.453125" style="9" customWidth="1"/>
    <col min="17" max="17" width="15.453125" customWidth="1"/>
  </cols>
  <sheetData>
    <row r="1" spans="1:21" ht="15.5">
      <c r="A1" s="98" t="s">
        <v>505</v>
      </c>
      <c r="B1" s="98"/>
      <c r="C1" s="98"/>
      <c r="D1" s="28"/>
      <c r="E1" s="28"/>
      <c r="F1" s="28"/>
      <c r="G1" s="28"/>
      <c r="H1" s="28"/>
      <c r="I1" s="28"/>
      <c r="J1" s="28"/>
      <c r="K1" s="28"/>
      <c r="L1" s="28"/>
      <c r="M1" s="124"/>
      <c r="N1" s="28"/>
      <c r="O1" s="28"/>
      <c r="P1" s="28"/>
      <c r="Q1" s="28"/>
      <c r="R1" s="28"/>
      <c r="S1" s="28"/>
      <c r="T1" s="28"/>
      <c r="U1" s="28"/>
    </row>
    <row r="2" spans="1:21" ht="15.5">
      <c r="A2" s="98"/>
      <c r="B2" s="98"/>
      <c r="C2" s="98"/>
      <c r="D2" s="28"/>
      <c r="E2" s="28"/>
      <c r="F2" s="28"/>
      <c r="G2" s="28"/>
      <c r="H2" s="28"/>
      <c r="I2" s="28"/>
      <c r="J2" s="28"/>
      <c r="K2" s="28"/>
      <c r="L2" s="28"/>
      <c r="M2" s="124"/>
      <c r="N2" s="28"/>
      <c r="O2" s="28"/>
      <c r="P2" s="28"/>
      <c r="Q2" s="28"/>
      <c r="R2" s="28"/>
      <c r="S2" s="28"/>
      <c r="T2" s="28"/>
      <c r="U2" s="28"/>
    </row>
    <row r="3" spans="1:21" ht="52" customHeight="1" thickBot="1">
      <c r="A3" s="655" t="s">
        <v>443</v>
      </c>
      <c r="B3" s="655"/>
      <c r="C3" s="655"/>
      <c r="D3" s="655"/>
      <c r="E3" s="655"/>
      <c r="F3" s="655"/>
      <c r="G3" s="655"/>
      <c r="H3" s="655"/>
      <c r="I3" s="655"/>
      <c r="J3" s="655"/>
      <c r="K3" s="28"/>
      <c r="L3" s="28"/>
      <c r="M3" s="124"/>
      <c r="N3" s="28"/>
      <c r="O3" s="28"/>
      <c r="P3" s="28"/>
      <c r="Q3" s="28"/>
      <c r="R3" s="28"/>
      <c r="S3" s="28"/>
      <c r="T3" s="28"/>
      <c r="U3" s="28"/>
    </row>
    <row r="4" spans="1:21" ht="31" customHeight="1" thickBot="1">
      <c r="A4" s="177"/>
      <c r="B4" s="662" t="s">
        <v>383</v>
      </c>
      <c r="C4" s="663"/>
      <c r="D4" s="663"/>
      <c r="E4" s="663"/>
      <c r="F4" s="663"/>
      <c r="G4" s="664"/>
      <c r="H4" s="656" t="s">
        <v>384</v>
      </c>
      <c r="I4" s="657"/>
      <c r="J4" s="657"/>
      <c r="K4" s="657"/>
      <c r="L4" s="658"/>
      <c r="M4" s="665" t="s">
        <v>281</v>
      </c>
      <c r="N4" s="659" t="s">
        <v>385</v>
      </c>
      <c r="O4" s="660"/>
      <c r="P4" s="661"/>
      <c r="Q4" s="177"/>
      <c r="R4" s="28"/>
      <c r="S4" s="28"/>
      <c r="T4" s="28"/>
      <c r="U4" s="28"/>
    </row>
    <row r="5" spans="1:21" ht="134.25" customHeight="1" thickBot="1">
      <c r="A5" s="309" t="s">
        <v>29</v>
      </c>
      <c r="B5" s="300" t="s">
        <v>44</v>
      </c>
      <c r="C5" s="301" t="s">
        <v>63</v>
      </c>
      <c r="D5" s="301" t="s">
        <v>381</v>
      </c>
      <c r="E5" s="301" t="s">
        <v>382</v>
      </c>
      <c r="F5" s="301" t="s">
        <v>444</v>
      </c>
      <c r="G5" s="302" t="s">
        <v>445</v>
      </c>
      <c r="H5" s="303" t="s">
        <v>446</v>
      </c>
      <c r="I5" s="304" t="s">
        <v>65</v>
      </c>
      <c r="J5" s="304" t="s">
        <v>282</v>
      </c>
      <c r="K5" s="304" t="s">
        <v>66</v>
      </c>
      <c r="L5" s="305" t="s">
        <v>275</v>
      </c>
      <c r="M5" s="666"/>
      <c r="N5" s="306" t="s">
        <v>68</v>
      </c>
      <c r="O5" s="307" t="s">
        <v>69</v>
      </c>
      <c r="P5" s="308" t="s">
        <v>70</v>
      </c>
      <c r="Q5" s="295" t="s">
        <v>0</v>
      </c>
      <c r="R5" s="28"/>
      <c r="S5" s="28"/>
      <c r="T5" s="28"/>
      <c r="U5" s="28"/>
    </row>
    <row r="6" spans="1:21">
      <c r="A6" s="67">
        <v>1</v>
      </c>
      <c r="B6" s="69"/>
      <c r="C6" s="296"/>
      <c r="D6" s="296"/>
      <c r="E6" s="296"/>
      <c r="F6" s="296"/>
      <c r="G6" s="297"/>
      <c r="H6" s="298"/>
      <c r="I6" s="69"/>
      <c r="J6" s="69"/>
      <c r="K6" s="69"/>
      <c r="L6" s="72"/>
      <c r="M6" s="67"/>
      <c r="N6" s="69"/>
      <c r="O6" s="100"/>
      <c r="P6" s="299"/>
      <c r="Q6" s="172"/>
      <c r="R6" s="28"/>
      <c r="S6" s="28"/>
      <c r="T6" s="28"/>
      <c r="U6" s="28"/>
    </row>
    <row r="7" spans="1:21">
      <c r="A7" s="145">
        <v>2</v>
      </c>
      <c r="B7" s="16"/>
      <c r="C7" s="22"/>
      <c r="D7" s="22"/>
      <c r="E7" s="22"/>
      <c r="F7" s="22"/>
      <c r="G7" s="170"/>
      <c r="H7" s="168"/>
      <c r="I7" s="16"/>
      <c r="J7" s="16"/>
      <c r="K7" s="16"/>
      <c r="L7" s="46"/>
      <c r="M7" s="173"/>
      <c r="N7" s="16"/>
      <c r="O7" s="20"/>
      <c r="P7" s="166"/>
      <c r="Q7" s="164"/>
      <c r="R7" s="28"/>
      <c r="S7" s="28"/>
      <c r="T7" s="28"/>
      <c r="U7" s="28"/>
    </row>
    <row r="8" spans="1:21">
      <c r="A8" s="145">
        <v>3</v>
      </c>
      <c r="B8" s="16"/>
      <c r="C8" s="22"/>
      <c r="D8" s="22"/>
      <c r="E8" s="22"/>
      <c r="F8" s="22"/>
      <c r="G8" s="170"/>
      <c r="H8" s="168"/>
      <c r="I8" s="16"/>
      <c r="J8" s="16"/>
      <c r="K8" s="16"/>
      <c r="L8" s="46"/>
      <c r="M8" s="173"/>
      <c r="N8" s="16"/>
      <c r="O8" s="20"/>
      <c r="P8" s="166"/>
      <c r="Q8" s="164"/>
      <c r="R8" s="28"/>
      <c r="S8" s="28"/>
      <c r="T8" s="28"/>
      <c r="U8" s="28"/>
    </row>
    <row r="9" spans="1:21">
      <c r="A9" s="145">
        <v>4</v>
      </c>
      <c r="B9" s="16"/>
      <c r="C9" s="22"/>
      <c r="D9" s="22"/>
      <c r="E9" s="22"/>
      <c r="F9" s="22"/>
      <c r="G9" s="170"/>
      <c r="H9" s="168"/>
      <c r="I9" s="16"/>
      <c r="J9" s="16"/>
      <c r="K9" s="16"/>
      <c r="L9" s="46"/>
      <c r="M9" s="173"/>
      <c r="N9" s="16"/>
      <c r="O9" s="20"/>
      <c r="P9" s="166"/>
      <c r="Q9" s="164"/>
      <c r="R9" s="28"/>
      <c r="S9" s="28"/>
      <c r="T9" s="28"/>
      <c r="U9" s="28"/>
    </row>
    <row r="10" spans="1:21">
      <c r="A10" s="145">
        <v>5</v>
      </c>
      <c r="B10" s="16"/>
      <c r="C10" s="22"/>
      <c r="D10" s="22"/>
      <c r="E10" s="22"/>
      <c r="F10" s="22"/>
      <c r="G10" s="170"/>
      <c r="H10" s="168"/>
      <c r="I10" s="16"/>
      <c r="J10" s="16"/>
      <c r="K10" s="16"/>
      <c r="L10" s="46"/>
      <c r="M10" s="173"/>
      <c r="N10" s="16"/>
      <c r="O10" s="20"/>
      <c r="P10" s="166"/>
      <c r="Q10" s="164"/>
      <c r="R10" s="28"/>
      <c r="S10" s="28"/>
      <c r="T10" s="28"/>
      <c r="U10" s="28"/>
    </row>
    <row r="11" spans="1:21">
      <c r="A11" s="145">
        <v>6</v>
      </c>
      <c r="B11" s="16"/>
      <c r="C11" s="22"/>
      <c r="D11" s="22"/>
      <c r="E11" s="22"/>
      <c r="F11" s="22"/>
      <c r="G11" s="170"/>
      <c r="H11" s="168"/>
      <c r="I11" s="16"/>
      <c r="J11" s="16"/>
      <c r="K11" s="16"/>
      <c r="L11" s="46"/>
      <c r="M11" s="173"/>
      <c r="N11" s="16"/>
      <c r="O11" s="20"/>
      <c r="P11" s="166"/>
      <c r="Q11" s="164"/>
      <c r="R11" s="28"/>
      <c r="S11" s="28"/>
      <c r="T11" s="28"/>
      <c r="U11" s="28"/>
    </row>
    <row r="12" spans="1:21">
      <c r="A12" s="145">
        <v>7</v>
      </c>
      <c r="B12" s="16"/>
      <c r="C12" s="22"/>
      <c r="D12" s="22"/>
      <c r="E12" s="22"/>
      <c r="F12" s="22"/>
      <c r="G12" s="170"/>
      <c r="H12" s="168"/>
      <c r="I12" s="16"/>
      <c r="J12" s="16"/>
      <c r="K12" s="16"/>
      <c r="L12" s="46"/>
      <c r="M12" s="173"/>
      <c r="N12" s="16"/>
      <c r="O12" s="20"/>
      <c r="P12" s="166"/>
      <c r="Q12" s="164"/>
      <c r="R12" s="28"/>
      <c r="S12" s="28"/>
      <c r="T12" s="28"/>
      <c r="U12" s="28"/>
    </row>
    <row r="13" spans="1:21">
      <c r="A13" s="145">
        <v>8</v>
      </c>
      <c r="B13" s="16"/>
      <c r="C13" s="22"/>
      <c r="D13" s="22"/>
      <c r="E13" s="22"/>
      <c r="F13" s="22"/>
      <c r="G13" s="170"/>
      <c r="H13" s="168"/>
      <c r="I13" s="16"/>
      <c r="J13" s="16"/>
      <c r="K13" s="16"/>
      <c r="L13" s="46"/>
      <c r="M13" s="173"/>
      <c r="N13" s="16"/>
      <c r="O13" s="20"/>
      <c r="P13" s="166"/>
      <c r="Q13" s="164"/>
      <c r="R13" s="28"/>
      <c r="S13" s="28"/>
      <c r="T13" s="28"/>
      <c r="U13" s="28"/>
    </row>
    <row r="14" spans="1:21">
      <c r="A14" s="145">
        <v>9</v>
      </c>
      <c r="B14" s="16"/>
      <c r="C14" s="22"/>
      <c r="D14" s="22"/>
      <c r="E14" s="22"/>
      <c r="F14" s="22"/>
      <c r="G14" s="170"/>
      <c r="H14" s="168"/>
      <c r="I14" s="16"/>
      <c r="J14" s="16"/>
      <c r="K14" s="16"/>
      <c r="L14" s="46"/>
      <c r="M14" s="173"/>
      <c r="N14" s="16"/>
      <c r="O14" s="20"/>
      <c r="P14" s="166"/>
      <c r="Q14" s="164"/>
      <c r="R14" s="28"/>
      <c r="S14" s="28"/>
      <c r="T14" s="28"/>
      <c r="U14" s="28"/>
    </row>
    <row r="15" spans="1:21">
      <c r="A15" s="145">
        <v>10</v>
      </c>
      <c r="B15" s="16"/>
      <c r="C15" s="22"/>
      <c r="D15" s="22"/>
      <c r="E15" s="22"/>
      <c r="F15" s="22"/>
      <c r="G15" s="170"/>
      <c r="H15" s="168"/>
      <c r="I15" s="16"/>
      <c r="J15" s="16"/>
      <c r="K15" s="16"/>
      <c r="L15" s="46"/>
      <c r="M15" s="173"/>
      <c r="N15" s="16"/>
      <c r="O15" s="20"/>
      <c r="P15" s="166"/>
      <c r="Q15" s="164"/>
      <c r="R15" s="28"/>
      <c r="S15" s="28"/>
      <c r="T15" s="28"/>
      <c r="U15" s="28"/>
    </row>
    <row r="16" spans="1:21">
      <c r="A16" s="145">
        <v>11</v>
      </c>
      <c r="B16" s="16"/>
      <c r="C16" s="22"/>
      <c r="D16" s="22"/>
      <c r="E16" s="22"/>
      <c r="F16" s="22"/>
      <c r="G16" s="170"/>
      <c r="H16" s="168"/>
      <c r="I16" s="16"/>
      <c r="J16" s="16"/>
      <c r="K16" s="16"/>
      <c r="L16" s="46"/>
      <c r="M16" s="173"/>
      <c r="N16" s="16"/>
      <c r="O16" s="20"/>
      <c r="P16" s="166"/>
      <c r="Q16" s="164"/>
      <c r="R16" s="28"/>
      <c r="S16" s="28"/>
      <c r="T16" s="28"/>
      <c r="U16" s="28"/>
    </row>
    <row r="17" spans="1:21">
      <c r="A17" s="145">
        <v>12</v>
      </c>
      <c r="B17" s="16"/>
      <c r="C17" s="22"/>
      <c r="D17" s="22"/>
      <c r="E17" s="22"/>
      <c r="F17" s="22"/>
      <c r="G17" s="170"/>
      <c r="H17" s="168"/>
      <c r="I17" s="16"/>
      <c r="J17" s="16"/>
      <c r="K17" s="16"/>
      <c r="L17" s="46"/>
      <c r="M17" s="173"/>
      <c r="N17" s="16"/>
      <c r="O17" s="20"/>
      <c r="P17" s="166"/>
      <c r="Q17" s="164"/>
      <c r="R17" s="28"/>
      <c r="S17" s="28"/>
      <c r="T17" s="28"/>
      <c r="U17" s="28"/>
    </row>
    <row r="18" spans="1:21">
      <c r="A18" s="145">
        <v>13</v>
      </c>
      <c r="B18" s="16"/>
      <c r="C18" s="22"/>
      <c r="D18" s="22"/>
      <c r="E18" s="22"/>
      <c r="F18" s="22"/>
      <c r="G18" s="170"/>
      <c r="H18" s="168"/>
      <c r="I18" s="16"/>
      <c r="J18" s="16"/>
      <c r="K18" s="16"/>
      <c r="L18" s="46"/>
      <c r="M18" s="173"/>
      <c r="N18" s="16"/>
      <c r="O18" s="20"/>
      <c r="P18" s="166"/>
      <c r="Q18" s="164"/>
      <c r="R18" s="28"/>
      <c r="S18" s="28"/>
      <c r="T18" s="28"/>
      <c r="U18" s="28"/>
    </row>
    <row r="19" spans="1:21">
      <c r="A19" s="145">
        <v>14</v>
      </c>
      <c r="B19" s="16"/>
      <c r="C19" s="22"/>
      <c r="D19" s="22"/>
      <c r="E19" s="22"/>
      <c r="F19" s="22"/>
      <c r="G19" s="170"/>
      <c r="H19" s="168"/>
      <c r="I19" s="16"/>
      <c r="J19" s="16"/>
      <c r="K19" s="16"/>
      <c r="L19" s="46"/>
      <c r="M19" s="173"/>
      <c r="N19" s="16"/>
      <c r="O19" s="20"/>
      <c r="P19" s="166"/>
      <c r="Q19" s="164"/>
      <c r="R19" s="28"/>
      <c r="S19" s="28"/>
      <c r="T19" s="28"/>
      <c r="U19" s="28"/>
    </row>
    <row r="20" spans="1:21">
      <c r="A20" s="145">
        <v>15</v>
      </c>
      <c r="B20" s="16"/>
      <c r="C20" s="22"/>
      <c r="D20" s="22"/>
      <c r="E20" s="22"/>
      <c r="F20" s="22"/>
      <c r="G20" s="170"/>
      <c r="H20" s="168"/>
      <c r="I20" s="16"/>
      <c r="J20" s="16"/>
      <c r="K20" s="16"/>
      <c r="L20" s="46"/>
      <c r="M20" s="173"/>
      <c r="N20" s="16"/>
      <c r="O20" s="20"/>
      <c r="P20" s="166"/>
      <c r="Q20" s="164"/>
      <c r="R20" s="28"/>
      <c r="S20" s="28"/>
      <c r="T20" s="28"/>
      <c r="U20" s="28"/>
    </row>
    <row r="21" spans="1:21">
      <c r="A21" s="145">
        <v>16</v>
      </c>
      <c r="B21" s="16"/>
      <c r="C21" s="22"/>
      <c r="D21" s="22"/>
      <c r="E21" s="22"/>
      <c r="F21" s="22"/>
      <c r="G21" s="170"/>
      <c r="H21" s="168"/>
      <c r="I21" s="16"/>
      <c r="J21" s="16"/>
      <c r="K21" s="16"/>
      <c r="L21" s="46"/>
      <c r="M21" s="173"/>
      <c r="N21" s="16"/>
      <c r="O21" s="20"/>
      <c r="P21" s="166"/>
      <c r="Q21" s="164"/>
      <c r="R21" s="28"/>
      <c r="S21" s="28"/>
      <c r="T21" s="28"/>
      <c r="U21" s="28"/>
    </row>
    <row r="22" spans="1:21">
      <c r="A22" s="145">
        <v>17</v>
      </c>
      <c r="B22" s="16"/>
      <c r="C22" s="22"/>
      <c r="D22" s="22"/>
      <c r="E22" s="22"/>
      <c r="F22" s="22"/>
      <c r="G22" s="170"/>
      <c r="H22" s="168"/>
      <c r="I22" s="16"/>
      <c r="J22" s="16"/>
      <c r="K22" s="16"/>
      <c r="L22" s="46"/>
      <c r="M22" s="173"/>
      <c r="N22" s="16"/>
      <c r="O22" s="20"/>
      <c r="P22" s="166"/>
      <c r="Q22" s="164"/>
      <c r="R22" s="28"/>
      <c r="S22" s="28"/>
      <c r="T22" s="28"/>
      <c r="U22" s="28"/>
    </row>
    <row r="23" spans="1:21">
      <c r="A23" s="145">
        <v>18</v>
      </c>
      <c r="B23" s="16"/>
      <c r="C23" s="22"/>
      <c r="D23" s="22"/>
      <c r="E23" s="22"/>
      <c r="F23" s="22"/>
      <c r="G23" s="170"/>
      <c r="H23" s="168"/>
      <c r="I23" s="16"/>
      <c r="J23" s="16"/>
      <c r="K23" s="16"/>
      <c r="L23" s="46"/>
      <c r="M23" s="173"/>
      <c r="N23" s="16"/>
      <c r="O23" s="20"/>
      <c r="P23" s="166"/>
      <c r="Q23" s="164"/>
      <c r="R23" s="28"/>
      <c r="S23" s="28"/>
      <c r="T23" s="28"/>
      <c r="U23" s="28"/>
    </row>
    <row r="24" spans="1:21">
      <c r="A24" s="145">
        <v>19</v>
      </c>
      <c r="B24" s="16"/>
      <c r="C24" s="22"/>
      <c r="D24" s="22"/>
      <c r="E24" s="22"/>
      <c r="F24" s="22"/>
      <c r="G24" s="170"/>
      <c r="H24" s="168"/>
      <c r="I24" s="16"/>
      <c r="J24" s="16"/>
      <c r="K24" s="16"/>
      <c r="L24" s="46"/>
      <c r="M24" s="173"/>
      <c r="N24" s="16"/>
      <c r="O24" s="20"/>
      <c r="P24" s="166"/>
      <c r="Q24" s="164"/>
      <c r="R24" s="28"/>
      <c r="S24" s="28"/>
      <c r="T24" s="28"/>
      <c r="U24" s="28"/>
    </row>
    <row r="25" spans="1:21">
      <c r="A25" s="145">
        <v>20</v>
      </c>
      <c r="B25" s="16"/>
      <c r="C25" s="22"/>
      <c r="D25" s="22"/>
      <c r="E25" s="22"/>
      <c r="F25" s="22"/>
      <c r="G25" s="170"/>
      <c r="H25" s="168"/>
      <c r="I25" s="16"/>
      <c r="J25" s="16"/>
      <c r="K25" s="16"/>
      <c r="L25" s="46"/>
      <c r="M25" s="173"/>
      <c r="N25" s="16"/>
      <c r="O25" s="20"/>
      <c r="P25" s="166"/>
      <c r="Q25" s="164"/>
      <c r="R25" s="28"/>
      <c r="S25" s="28"/>
      <c r="T25" s="28"/>
      <c r="U25" s="28"/>
    </row>
    <row r="26" spans="1:21">
      <c r="A26" s="145">
        <v>21</v>
      </c>
      <c r="B26" s="16"/>
      <c r="C26" s="22"/>
      <c r="D26" s="22"/>
      <c r="E26" s="22"/>
      <c r="F26" s="22"/>
      <c r="G26" s="170"/>
      <c r="H26" s="168"/>
      <c r="I26" s="16"/>
      <c r="J26" s="16"/>
      <c r="K26" s="16"/>
      <c r="L26" s="46"/>
      <c r="M26" s="173"/>
      <c r="N26" s="16"/>
      <c r="O26" s="20"/>
      <c r="P26" s="166"/>
      <c r="Q26" s="164"/>
      <c r="R26" s="28"/>
      <c r="S26" s="28"/>
      <c r="T26" s="28"/>
      <c r="U26" s="28"/>
    </row>
    <row r="27" spans="1:21">
      <c r="A27" s="145">
        <v>22</v>
      </c>
      <c r="B27" s="16"/>
      <c r="C27" s="22"/>
      <c r="D27" s="22"/>
      <c r="E27" s="22"/>
      <c r="F27" s="22"/>
      <c r="G27" s="170"/>
      <c r="H27" s="168"/>
      <c r="I27" s="16"/>
      <c r="J27" s="16"/>
      <c r="K27" s="16"/>
      <c r="L27" s="46"/>
      <c r="M27" s="173"/>
      <c r="N27" s="16"/>
      <c r="O27" s="20"/>
      <c r="P27" s="166"/>
      <c r="Q27" s="164"/>
      <c r="R27" s="28"/>
      <c r="S27" s="28"/>
      <c r="T27" s="28"/>
      <c r="U27" s="28"/>
    </row>
    <row r="28" spans="1:21">
      <c r="A28" s="145">
        <v>23</v>
      </c>
      <c r="B28" s="16"/>
      <c r="C28" s="22"/>
      <c r="D28" s="22"/>
      <c r="E28" s="22"/>
      <c r="F28" s="22"/>
      <c r="G28" s="170"/>
      <c r="H28" s="168"/>
      <c r="I28" s="16"/>
      <c r="J28" s="16"/>
      <c r="K28" s="16"/>
      <c r="L28" s="46"/>
      <c r="M28" s="173"/>
      <c r="N28" s="16"/>
      <c r="O28" s="20"/>
      <c r="P28" s="166"/>
      <c r="Q28" s="164"/>
      <c r="R28" s="28"/>
      <c r="S28" s="28"/>
      <c r="T28" s="28"/>
      <c r="U28" s="28"/>
    </row>
    <row r="29" spans="1:21">
      <c r="A29" s="145">
        <v>24</v>
      </c>
      <c r="B29" s="16"/>
      <c r="C29" s="22"/>
      <c r="D29" s="22"/>
      <c r="E29" s="22"/>
      <c r="F29" s="22"/>
      <c r="G29" s="170"/>
      <c r="H29" s="168"/>
      <c r="I29" s="16"/>
      <c r="J29" s="16"/>
      <c r="K29" s="16"/>
      <c r="L29" s="46"/>
      <c r="M29" s="173"/>
      <c r="N29" s="16"/>
      <c r="O29" s="20"/>
      <c r="P29" s="166"/>
      <c r="Q29" s="164"/>
      <c r="R29" s="28"/>
      <c r="S29" s="28"/>
      <c r="T29" s="28"/>
      <c r="U29" s="28"/>
    </row>
    <row r="30" spans="1:21">
      <c r="A30" s="145">
        <v>25</v>
      </c>
      <c r="B30" s="16"/>
      <c r="C30" s="22"/>
      <c r="D30" s="22"/>
      <c r="E30" s="22"/>
      <c r="F30" s="22"/>
      <c r="G30" s="170"/>
      <c r="H30" s="168"/>
      <c r="I30" s="16"/>
      <c r="J30" s="16"/>
      <c r="K30" s="16"/>
      <c r="L30" s="46"/>
      <c r="M30" s="173"/>
      <c r="N30" s="16"/>
      <c r="O30" s="20"/>
      <c r="P30" s="166"/>
      <c r="Q30" s="164"/>
      <c r="R30" s="28"/>
      <c r="S30" s="28"/>
      <c r="T30" s="28"/>
      <c r="U30" s="28"/>
    </row>
    <row r="31" spans="1:21">
      <c r="A31" s="145">
        <v>26</v>
      </c>
      <c r="B31" s="16"/>
      <c r="C31" s="22"/>
      <c r="D31" s="22"/>
      <c r="E31" s="22"/>
      <c r="F31" s="22"/>
      <c r="G31" s="170"/>
      <c r="H31" s="168"/>
      <c r="I31" s="16"/>
      <c r="J31" s="16"/>
      <c r="K31" s="16"/>
      <c r="L31" s="46"/>
      <c r="M31" s="173"/>
      <c r="N31" s="16"/>
      <c r="O31" s="20"/>
      <c r="P31" s="166"/>
      <c r="Q31" s="164"/>
      <c r="R31" s="28"/>
      <c r="S31" s="28"/>
      <c r="T31" s="28"/>
      <c r="U31" s="28"/>
    </row>
    <row r="32" spans="1:21">
      <c r="A32" s="145">
        <v>27</v>
      </c>
      <c r="B32" s="16"/>
      <c r="C32" s="22"/>
      <c r="D32" s="22"/>
      <c r="E32" s="22"/>
      <c r="F32" s="22"/>
      <c r="G32" s="170"/>
      <c r="H32" s="168"/>
      <c r="I32" s="16"/>
      <c r="J32" s="16"/>
      <c r="K32" s="16"/>
      <c r="L32" s="46"/>
      <c r="M32" s="173"/>
      <c r="N32" s="16"/>
      <c r="O32" s="20"/>
      <c r="P32" s="166"/>
      <c r="Q32" s="164"/>
      <c r="R32" s="28"/>
      <c r="S32" s="28"/>
      <c r="T32" s="28"/>
      <c r="U32" s="28"/>
    </row>
    <row r="33" spans="1:21">
      <c r="A33" s="145">
        <v>28</v>
      </c>
      <c r="B33" s="16"/>
      <c r="C33" s="22"/>
      <c r="D33" s="22"/>
      <c r="E33" s="22"/>
      <c r="F33" s="22"/>
      <c r="G33" s="170"/>
      <c r="H33" s="168"/>
      <c r="I33" s="16"/>
      <c r="J33" s="16"/>
      <c r="K33" s="16"/>
      <c r="L33" s="46"/>
      <c r="M33" s="173"/>
      <c r="N33" s="16"/>
      <c r="O33" s="20"/>
      <c r="P33" s="166"/>
      <c r="Q33" s="164"/>
      <c r="R33" s="28"/>
      <c r="S33" s="28"/>
      <c r="T33" s="28"/>
      <c r="U33" s="28"/>
    </row>
    <row r="34" spans="1:21">
      <c r="A34" s="145">
        <v>29</v>
      </c>
      <c r="B34" s="16"/>
      <c r="C34" s="22"/>
      <c r="D34" s="22"/>
      <c r="E34" s="22"/>
      <c r="F34" s="22"/>
      <c r="G34" s="170"/>
      <c r="H34" s="168"/>
      <c r="I34" s="16"/>
      <c r="J34" s="16"/>
      <c r="K34" s="16"/>
      <c r="L34" s="46"/>
      <c r="M34" s="173"/>
      <c r="N34" s="16"/>
      <c r="O34" s="20"/>
      <c r="P34" s="166"/>
      <c r="Q34" s="164"/>
      <c r="R34" s="28"/>
      <c r="S34" s="28"/>
      <c r="T34" s="28"/>
      <c r="U34" s="28"/>
    </row>
    <row r="35" spans="1:21">
      <c r="A35" s="145">
        <v>30</v>
      </c>
      <c r="B35" s="16"/>
      <c r="C35" s="22"/>
      <c r="D35" s="22"/>
      <c r="E35" s="22"/>
      <c r="F35" s="22"/>
      <c r="G35" s="170"/>
      <c r="H35" s="168"/>
      <c r="I35" s="16"/>
      <c r="J35" s="16"/>
      <c r="K35" s="16"/>
      <c r="L35" s="46"/>
      <c r="M35" s="173"/>
      <c r="N35" s="16"/>
      <c r="O35" s="20"/>
      <c r="P35" s="166"/>
      <c r="Q35" s="164"/>
      <c r="R35" s="28"/>
      <c r="S35" s="28"/>
      <c r="T35" s="28"/>
      <c r="U35" s="28"/>
    </row>
    <row r="36" spans="1:21">
      <c r="A36" s="145">
        <v>31</v>
      </c>
      <c r="B36" s="16"/>
      <c r="C36" s="22"/>
      <c r="D36" s="22"/>
      <c r="E36" s="22"/>
      <c r="F36" s="22"/>
      <c r="G36" s="170"/>
      <c r="H36" s="168"/>
      <c r="I36" s="16"/>
      <c r="J36" s="16"/>
      <c r="K36" s="16"/>
      <c r="L36" s="46"/>
      <c r="M36" s="173"/>
      <c r="N36" s="16"/>
      <c r="O36" s="20"/>
      <c r="P36" s="166"/>
      <c r="Q36" s="164"/>
      <c r="R36" s="28"/>
      <c r="S36" s="28"/>
      <c r="T36" s="28"/>
      <c r="U36" s="28"/>
    </row>
    <row r="37" spans="1:21">
      <c r="A37" s="145">
        <v>32</v>
      </c>
      <c r="B37" s="16"/>
      <c r="C37" s="22"/>
      <c r="D37" s="22"/>
      <c r="E37" s="22"/>
      <c r="F37" s="22"/>
      <c r="G37" s="170"/>
      <c r="H37" s="168"/>
      <c r="I37" s="16"/>
      <c r="J37" s="16"/>
      <c r="K37" s="16"/>
      <c r="L37" s="46"/>
      <c r="M37" s="173"/>
      <c r="N37" s="16"/>
      <c r="O37" s="20"/>
      <c r="P37" s="166"/>
      <c r="Q37" s="164"/>
      <c r="R37" s="28"/>
      <c r="S37" s="28"/>
      <c r="T37" s="28"/>
      <c r="U37" s="28"/>
    </row>
    <row r="38" spans="1:21">
      <c r="A38" s="145">
        <v>33</v>
      </c>
      <c r="B38" s="16"/>
      <c r="C38" s="22"/>
      <c r="D38" s="22"/>
      <c r="E38" s="22"/>
      <c r="F38" s="22"/>
      <c r="G38" s="170"/>
      <c r="H38" s="168"/>
      <c r="I38" s="16"/>
      <c r="J38" s="16"/>
      <c r="K38" s="16"/>
      <c r="L38" s="46"/>
      <c r="M38" s="173"/>
      <c r="N38" s="16"/>
      <c r="O38" s="20"/>
      <c r="P38" s="166"/>
      <c r="Q38" s="164"/>
      <c r="R38" s="28"/>
      <c r="S38" s="28"/>
      <c r="T38" s="28"/>
      <c r="U38" s="28"/>
    </row>
    <row r="39" spans="1:21">
      <c r="A39" s="145">
        <v>34</v>
      </c>
      <c r="B39" s="16"/>
      <c r="C39" s="22"/>
      <c r="D39" s="22"/>
      <c r="E39" s="22"/>
      <c r="F39" s="22"/>
      <c r="G39" s="170"/>
      <c r="H39" s="168"/>
      <c r="I39" s="16"/>
      <c r="J39" s="16"/>
      <c r="K39" s="16"/>
      <c r="L39" s="46"/>
      <c r="M39" s="173"/>
      <c r="N39" s="16"/>
      <c r="O39" s="20"/>
      <c r="P39" s="166"/>
      <c r="Q39" s="164"/>
      <c r="R39" s="28"/>
      <c r="S39" s="28"/>
      <c r="T39" s="28"/>
      <c r="U39" s="28"/>
    </row>
    <row r="40" spans="1:21">
      <c r="A40" s="145">
        <v>35</v>
      </c>
      <c r="B40" s="16"/>
      <c r="C40" s="22"/>
      <c r="D40" s="22"/>
      <c r="E40" s="22"/>
      <c r="F40" s="22"/>
      <c r="G40" s="170"/>
      <c r="H40" s="168"/>
      <c r="I40" s="16"/>
      <c r="J40" s="16"/>
      <c r="K40" s="16"/>
      <c r="L40" s="46"/>
      <c r="M40" s="173"/>
      <c r="N40" s="16"/>
      <c r="O40" s="20"/>
      <c r="P40" s="166"/>
      <c r="Q40" s="164"/>
      <c r="R40" s="28"/>
      <c r="S40" s="28"/>
      <c r="T40" s="28"/>
      <c r="U40" s="28"/>
    </row>
    <row r="41" spans="1:21">
      <c r="A41" s="145">
        <v>36</v>
      </c>
      <c r="B41" s="16"/>
      <c r="C41" s="22"/>
      <c r="D41" s="22"/>
      <c r="E41" s="22"/>
      <c r="F41" s="22"/>
      <c r="G41" s="170"/>
      <c r="H41" s="168"/>
      <c r="I41" s="16"/>
      <c r="J41" s="16"/>
      <c r="K41" s="16"/>
      <c r="L41" s="46"/>
      <c r="M41" s="173"/>
      <c r="N41" s="16"/>
      <c r="O41" s="20"/>
      <c r="P41" s="166"/>
      <c r="Q41" s="164"/>
      <c r="R41" s="28"/>
      <c r="S41" s="28"/>
      <c r="T41" s="28"/>
      <c r="U41" s="28"/>
    </row>
    <row r="42" spans="1:21">
      <c r="A42" s="145">
        <v>37</v>
      </c>
      <c r="B42" s="16"/>
      <c r="C42" s="22"/>
      <c r="D42" s="22"/>
      <c r="E42" s="22"/>
      <c r="F42" s="22"/>
      <c r="G42" s="170"/>
      <c r="H42" s="168"/>
      <c r="I42" s="16"/>
      <c r="J42" s="16"/>
      <c r="K42" s="16"/>
      <c r="L42" s="46"/>
      <c r="M42" s="173"/>
      <c r="N42" s="16"/>
      <c r="O42" s="20"/>
      <c r="P42" s="166"/>
      <c r="Q42" s="164"/>
      <c r="R42" s="28"/>
      <c r="S42" s="28"/>
      <c r="T42" s="28"/>
      <c r="U42" s="28"/>
    </row>
    <row r="43" spans="1:21">
      <c r="A43" s="145">
        <v>38</v>
      </c>
      <c r="B43" s="16"/>
      <c r="C43" s="22"/>
      <c r="D43" s="22"/>
      <c r="E43" s="22"/>
      <c r="F43" s="22"/>
      <c r="G43" s="170"/>
      <c r="H43" s="168"/>
      <c r="I43" s="16"/>
      <c r="J43" s="16"/>
      <c r="K43" s="16"/>
      <c r="L43" s="46"/>
      <c r="M43" s="173"/>
      <c r="N43" s="16"/>
      <c r="O43" s="20"/>
      <c r="P43" s="166"/>
      <c r="Q43" s="164"/>
      <c r="R43" s="28"/>
      <c r="S43" s="28"/>
      <c r="T43" s="28"/>
      <c r="U43" s="28"/>
    </row>
    <row r="44" spans="1:21">
      <c r="A44" s="145">
        <v>39</v>
      </c>
      <c r="B44" s="16"/>
      <c r="C44" s="22"/>
      <c r="D44" s="22"/>
      <c r="E44" s="22"/>
      <c r="F44" s="22"/>
      <c r="G44" s="170"/>
      <c r="H44" s="168"/>
      <c r="I44" s="16"/>
      <c r="J44" s="16"/>
      <c r="K44" s="16"/>
      <c r="L44" s="46"/>
      <c r="M44" s="173"/>
      <c r="N44" s="16"/>
      <c r="O44" s="20"/>
      <c r="P44" s="166"/>
      <c r="Q44" s="164"/>
      <c r="R44" s="28"/>
      <c r="S44" s="28"/>
      <c r="T44" s="28"/>
      <c r="U44" s="28"/>
    </row>
    <row r="45" spans="1:21">
      <c r="A45" s="145">
        <v>40</v>
      </c>
      <c r="B45" s="16"/>
      <c r="C45" s="22"/>
      <c r="D45" s="22"/>
      <c r="E45" s="22"/>
      <c r="F45" s="22"/>
      <c r="G45" s="170"/>
      <c r="H45" s="168"/>
      <c r="I45" s="16"/>
      <c r="J45" s="16"/>
      <c r="K45" s="16"/>
      <c r="L45" s="46"/>
      <c r="M45" s="173"/>
      <c r="N45" s="16"/>
      <c r="O45" s="20"/>
      <c r="P45" s="166"/>
      <c r="Q45" s="164"/>
      <c r="R45" s="28"/>
      <c r="S45" s="28"/>
      <c r="T45" s="28"/>
      <c r="U45" s="28"/>
    </row>
    <row r="46" spans="1:21">
      <c r="A46" s="145">
        <v>41</v>
      </c>
      <c r="B46" s="16"/>
      <c r="C46" s="22"/>
      <c r="D46" s="22"/>
      <c r="E46" s="22"/>
      <c r="F46" s="22"/>
      <c r="G46" s="170"/>
      <c r="H46" s="168"/>
      <c r="I46" s="16"/>
      <c r="J46" s="16"/>
      <c r="K46" s="16"/>
      <c r="L46" s="46"/>
      <c r="M46" s="173"/>
      <c r="N46" s="16"/>
      <c r="O46" s="20"/>
      <c r="P46" s="166"/>
      <c r="Q46" s="164"/>
      <c r="R46" s="28"/>
      <c r="S46" s="28"/>
      <c r="T46" s="28"/>
      <c r="U46" s="28"/>
    </row>
    <row r="47" spans="1:21">
      <c r="A47" s="145">
        <v>42</v>
      </c>
      <c r="B47" s="16"/>
      <c r="C47" s="22"/>
      <c r="D47" s="22"/>
      <c r="E47" s="22"/>
      <c r="F47" s="22"/>
      <c r="G47" s="170"/>
      <c r="H47" s="168"/>
      <c r="I47" s="16"/>
      <c r="J47" s="16"/>
      <c r="K47" s="16"/>
      <c r="L47" s="46"/>
      <c r="M47" s="173"/>
      <c r="N47" s="16"/>
      <c r="O47" s="20"/>
      <c r="P47" s="166"/>
      <c r="Q47" s="164"/>
      <c r="R47" s="28"/>
      <c r="S47" s="28"/>
      <c r="T47" s="28"/>
      <c r="U47" s="28"/>
    </row>
    <row r="48" spans="1:21">
      <c r="A48" s="145">
        <v>43</v>
      </c>
      <c r="B48" s="16"/>
      <c r="C48" s="22"/>
      <c r="D48" s="22"/>
      <c r="E48" s="22"/>
      <c r="F48" s="22"/>
      <c r="G48" s="170"/>
      <c r="H48" s="168"/>
      <c r="I48" s="16"/>
      <c r="J48" s="16"/>
      <c r="K48" s="16"/>
      <c r="L48" s="46"/>
      <c r="M48" s="173"/>
      <c r="N48" s="16"/>
      <c r="O48" s="20"/>
      <c r="P48" s="166"/>
      <c r="Q48" s="164"/>
      <c r="R48" s="28"/>
      <c r="S48" s="28"/>
      <c r="T48" s="28"/>
      <c r="U48" s="28"/>
    </row>
    <row r="49" spans="1:21">
      <c r="A49" s="145">
        <v>44</v>
      </c>
      <c r="B49" s="16"/>
      <c r="C49" s="22"/>
      <c r="D49" s="22"/>
      <c r="E49" s="22"/>
      <c r="F49" s="22"/>
      <c r="G49" s="170"/>
      <c r="H49" s="168"/>
      <c r="I49" s="16"/>
      <c r="J49" s="16"/>
      <c r="K49" s="16"/>
      <c r="L49" s="46"/>
      <c r="M49" s="173"/>
      <c r="N49" s="16"/>
      <c r="O49" s="20"/>
      <c r="P49" s="166"/>
      <c r="Q49" s="164"/>
      <c r="R49" s="28"/>
      <c r="S49" s="28"/>
      <c r="T49" s="28"/>
      <c r="U49" s="28"/>
    </row>
    <row r="50" spans="1:21">
      <c r="A50" s="145">
        <v>45</v>
      </c>
      <c r="B50" s="16"/>
      <c r="C50" s="22"/>
      <c r="D50" s="22"/>
      <c r="E50" s="22"/>
      <c r="F50" s="22"/>
      <c r="G50" s="170"/>
      <c r="H50" s="168"/>
      <c r="I50" s="16"/>
      <c r="J50" s="16"/>
      <c r="K50" s="16"/>
      <c r="L50" s="46"/>
      <c r="M50" s="173"/>
      <c r="N50" s="16"/>
      <c r="O50" s="20"/>
      <c r="P50" s="166"/>
      <c r="Q50" s="164"/>
      <c r="R50" s="28"/>
      <c r="S50" s="28"/>
      <c r="T50" s="28"/>
      <c r="U50" s="28"/>
    </row>
    <row r="51" spans="1:21">
      <c r="A51" s="145">
        <v>46</v>
      </c>
      <c r="B51" s="16"/>
      <c r="C51" s="22"/>
      <c r="D51" s="22"/>
      <c r="E51" s="22"/>
      <c r="F51" s="22"/>
      <c r="G51" s="170"/>
      <c r="H51" s="168"/>
      <c r="I51" s="16"/>
      <c r="J51" s="16"/>
      <c r="K51" s="16"/>
      <c r="L51" s="46"/>
      <c r="M51" s="173"/>
      <c r="N51" s="16"/>
      <c r="O51" s="20"/>
      <c r="P51" s="166"/>
      <c r="Q51" s="164"/>
      <c r="R51" s="28"/>
      <c r="S51" s="28"/>
      <c r="T51" s="28"/>
      <c r="U51" s="28"/>
    </row>
    <row r="52" spans="1:21">
      <c r="A52" s="145">
        <v>47</v>
      </c>
      <c r="B52" s="16"/>
      <c r="C52" s="22"/>
      <c r="D52" s="22"/>
      <c r="E52" s="22"/>
      <c r="F52" s="22"/>
      <c r="G52" s="170"/>
      <c r="H52" s="168"/>
      <c r="I52" s="16"/>
      <c r="J52" s="16"/>
      <c r="K52" s="16"/>
      <c r="L52" s="46"/>
      <c r="M52" s="173"/>
      <c r="N52" s="16"/>
      <c r="O52" s="20"/>
      <c r="P52" s="166"/>
      <c r="Q52" s="164"/>
      <c r="R52" s="28"/>
      <c r="S52" s="28"/>
      <c r="T52" s="28"/>
      <c r="U52" s="28"/>
    </row>
    <row r="53" spans="1:21">
      <c r="A53" s="145">
        <v>48</v>
      </c>
      <c r="B53" s="16"/>
      <c r="C53" s="22"/>
      <c r="D53" s="22"/>
      <c r="E53" s="22"/>
      <c r="F53" s="22"/>
      <c r="G53" s="170"/>
      <c r="H53" s="168"/>
      <c r="I53" s="16"/>
      <c r="J53" s="16"/>
      <c r="K53" s="16"/>
      <c r="L53" s="46"/>
      <c r="M53" s="173"/>
      <c r="N53" s="16"/>
      <c r="O53" s="20"/>
      <c r="P53" s="166"/>
      <c r="Q53" s="164"/>
      <c r="R53" s="28"/>
      <c r="S53" s="28"/>
      <c r="T53" s="28"/>
      <c r="U53" s="28"/>
    </row>
    <row r="54" spans="1:21">
      <c r="A54" s="145">
        <v>49</v>
      </c>
      <c r="B54" s="16"/>
      <c r="C54" s="22"/>
      <c r="D54" s="22"/>
      <c r="E54" s="22"/>
      <c r="F54" s="22"/>
      <c r="G54" s="170"/>
      <c r="H54" s="168"/>
      <c r="I54" s="16"/>
      <c r="J54" s="16"/>
      <c r="K54" s="16"/>
      <c r="L54" s="46"/>
      <c r="M54" s="173"/>
      <c r="N54" s="16"/>
      <c r="O54" s="20"/>
      <c r="P54" s="166"/>
      <c r="Q54" s="164"/>
      <c r="R54" s="28"/>
      <c r="S54" s="28"/>
      <c r="T54" s="28"/>
      <c r="U54" s="28"/>
    </row>
    <row r="55" spans="1:21" ht="15" thickBot="1">
      <c r="A55" s="53">
        <v>50</v>
      </c>
      <c r="B55" s="48"/>
      <c r="C55" s="94"/>
      <c r="D55" s="94"/>
      <c r="E55" s="94"/>
      <c r="F55" s="94"/>
      <c r="G55" s="171"/>
      <c r="H55" s="169"/>
      <c r="I55" s="48"/>
      <c r="J55" s="48"/>
      <c r="K55" s="48"/>
      <c r="L55" s="49"/>
      <c r="M55" s="53"/>
      <c r="N55" s="48"/>
      <c r="O55" s="95"/>
      <c r="P55" s="167"/>
      <c r="Q55" s="165"/>
      <c r="R55" s="28"/>
      <c r="S55" s="28"/>
      <c r="T55" s="28"/>
      <c r="U55" s="28"/>
    </row>
    <row r="56" spans="1:21">
      <c r="A56" s="28"/>
      <c r="B56" s="28"/>
      <c r="C56" s="28"/>
      <c r="D56" s="28"/>
      <c r="E56" s="28"/>
      <c r="F56" s="28"/>
      <c r="G56" s="28"/>
      <c r="H56" s="28"/>
      <c r="I56" s="28"/>
      <c r="J56" s="28"/>
      <c r="K56" s="28"/>
      <c r="L56" s="28"/>
      <c r="M56" s="124"/>
      <c r="N56" s="28"/>
      <c r="O56" s="28"/>
      <c r="P56" s="28"/>
      <c r="Q56" s="28"/>
      <c r="R56" s="28"/>
      <c r="S56" s="28"/>
      <c r="T56" s="28"/>
      <c r="U56" s="28"/>
    </row>
    <row r="57" spans="1:21">
      <c r="A57" s="28"/>
      <c r="B57" s="28"/>
      <c r="C57" s="28"/>
      <c r="D57" s="28"/>
      <c r="E57" s="28"/>
      <c r="F57" s="28"/>
      <c r="G57" s="28"/>
      <c r="H57" s="28"/>
      <c r="I57" s="28"/>
      <c r="J57" s="28"/>
      <c r="K57" s="28"/>
      <c r="L57" s="28"/>
      <c r="M57" s="124"/>
      <c r="N57" s="28"/>
      <c r="O57" s="28"/>
      <c r="P57" s="28"/>
      <c r="Q57" s="28"/>
      <c r="R57" s="28"/>
      <c r="S57" s="28"/>
      <c r="T57" s="28"/>
      <c r="U57" s="28"/>
    </row>
    <row r="58" spans="1:21">
      <c r="A58" s="28"/>
      <c r="B58" s="28"/>
      <c r="C58" s="28"/>
      <c r="D58" s="28"/>
      <c r="E58" s="28"/>
      <c r="F58" s="28"/>
      <c r="G58" s="28"/>
      <c r="H58" s="28"/>
      <c r="I58" s="28"/>
      <c r="J58" s="28"/>
      <c r="K58" s="28"/>
      <c r="L58" s="28"/>
      <c r="M58" s="124"/>
      <c r="N58" s="28"/>
      <c r="O58" s="28"/>
      <c r="P58" s="28"/>
      <c r="Q58" s="28"/>
      <c r="R58" s="28"/>
      <c r="S58" s="28"/>
      <c r="T58" s="28"/>
      <c r="U58" s="28"/>
    </row>
    <row r="59" spans="1:21">
      <c r="A59" s="28"/>
      <c r="B59" s="28"/>
      <c r="C59" s="28"/>
      <c r="D59" s="28"/>
      <c r="E59" s="28"/>
      <c r="F59" s="28"/>
      <c r="G59" s="28"/>
      <c r="H59" s="28"/>
      <c r="I59" s="28"/>
      <c r="J59" s="28"/>
      <c r="K59" s="28"/>
      <c r="L59" s="28"/>
      <c r="M59" s="124"/>
      <c r="N59" s="28"/>
      <c r="O59" s="28"/>
      <c r="P59" s="28"/>
      <c r="Q59" s="28"/>
      <c r="R59" s="28"/>
      <c r="S59" s="28"/>
      <c r="T59" s="28"/>
      <c r="U59" s="28"/>
    </row>
    <row r="60" spans="1:21">
      <c r="A60" s="28"/>
      <c r="B60" s="28"/>
      <c r="C60" s="28"/>
      <c r="D60" s="28"/>
      <c r="E60" s="28"/>
      <c r="F60" s="28"/>
      <c r="G60" s="28"/>
      <c r="H60" s="28"/>
      <c r="I60" s="28"/>
      <c r="J60" s="28"/>
      <c r="K60" s="28"/>
      <c r="L60" s="28"/>
      <c r="M60" s="124"/>
      <c r="N60" s="28"/>
      <c r="O60" s="28"/>
      <c r="P60" s="28"/>
      <c r="Q60" s="28"/>
      <c r="R60" s="28"/>
      <c r="S60" s="28"/>
      <c r="T60" s="28"/>
      <c r="U60" s="28"/>
    </row>
    <row r="61" spans="1:21">
      <c r="A61" s="28"/>
      <c r="B61" s="28"/>
      <c r="C61" s="28"/>
      <c r="D61" s="28"/>
      <c r="E61" s="28"/>
      <c r="F61" s="28"/>
      <c r="G61" s="28"/>
      <c r="H61" s="28"/>
      <c r="I61" s="28"/>
      <c r="J61" s="28"/>
      <c r="K61" s="28"/>
      <c r="L61" s="28"/>
      <c r="M61" s="124"/>
      <c r="N61" s="28"/>
      <c r="O61" s="28"/>
      <c r="P61" s="28"/>
      <c r="Q61" s="28"/>
      <c r="R61" s="28"/>
      <c r="S61" s="28"/>
      <c r="T61" s="28"/>
      <c r="U61" s="28"/>
    </row>
    <row r="62" spans="1:21">
      <c r="A62" s="28"/>
      <c r="B62" s="28"/>
      <c r="C62" s="28"/>
      <c r="D62" s="28"/>
      <c r="E62" s="28"/>
      <c r="F62" s="28"/>
      <c r="G62" s="28"/>
      <c r="H62" s="28"/>
      <c r="I62" s="28"/>
      <c r="J62" s="28"/>
      <c r="K62" s="28"/>
      <c r="L62" s="28"/>
      <c r="M62" s="124"/>
      <c r="N62" s="28"/>
      <c r="O62" s="28"/>
      <c r="P62" s="28"/>
      <c r="Q62" s="28"/>
      <c r="R62" s="28"/>
      <c r="S62" s="28"/>
      <c r="T62" s="28"/>
      <c r="U62" s="28"/>
    </row>
    <row r="63" spans="1:21">
      <c r="A63" s="28"/>
      <c r="B63" s="28"/>
      <c r="C63" s="28"/>
      <c r="D63" s="28"/>
      <c r="E63" s="28"/>
      <c r="F63" s="28"/>
      <c r="G63" s="28"/>
      <c r="H63" s="28"/>
      <c r="I63" s="28"/>
      <c r="J63" s="28"/>
      <c r="K63" s="28"/>
      <c r="L63" s="28"/>
      <c r="M63" s="124"/>
      <c r="N63" s="28"/>
      <c r="O63" s="28"/>
      <c r="P63" s="28"/>
      <c r="Q63" s="28"/>
      <c r="R63" s="28"/>
      <c r="S63" s="28"/>
      <c r="T63" s="28"/>
      <c r="U63" s="28"/>
    </row>
    <row r="64" spans="1:21">
      <c r="R64" s="28"/>
      <c r="S64" s="28"/>
      <c r="T64" s="28"/>
      <c r="U64" s="28"/>
    </row>
  </sheetData>
  <autoFilter ref="A5:Q5" xr:uid="{00000000-0009-0000-0000-00001C000000}"/>
  <mergeCells count="5">
    <mergeCell ref="A3:J3"/>
    <mergeCell ref="H4:L4"/>
    <mergeCell ref="N4:P4"/>
    <mergeCell ref="B4:G4"/>
    <mergeCell ref="M4:M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28"/>
  <dimension ref="A1:Q60"/>
  <sheetViews>
    <sheetView topLeftCell="E1" zoomScaleNormal="100" workbookViewId="0">
      <selection activeCell="N5" sqref="N5"/>
    </sheetView>
  </sheetViews>
  <sheetFormatPr baseColWidth="10" defaultRowHeight="14.5"/>
  <cols>
    <col min="1" max="1" width="6.26953125" customWidth="1"/>
    <col min="2" max="2" width="7.7265625" customWidth="1"/>
    <col min="3" max="3" width="17" customWidth="1"/>
    <col min="4" max="6" width="20" customWidth="1"/>
    <col min="7" max="8" width="13.81640625" customWidth="1"/>
    <col min="9" max="9" width="20.453125" customWidth="1"/>
    <col min="10" max="10" width="17.7265625" customWidth="1"/>
    <col min="11" max="13" width="13.81640625" customWidth="1"/>
    <col min="14" max="14" width="19.81640625" customWidth="1"/>
  </cols>
  <sheetData>
    <row r="1" spans="1:17" ht="15.5">
      <c r="A1" s="98" t="s">
        <v>386</v>
      </c>
      <c r="B1" s="98"/>
      <c r="C1" s="98"/>
      <c r="D1" s="98"/>
      <c r="E1" s="98"/>
      <c r="F1" s="98"/>
      <c r="G1" s="98"/>
      <c r="H1" s="28"/>
      <c r="I1" s="28"/>
      <c r="J1" s="28"/>
      <c r="K1" s="28"/>
      <c r="L1" s="28"/>
      <c r="M1" s="28"/>
      <c r="N1" s="28"/>
      <c r="O1" s="28"/>
      <c r="P1" s="28"/>
      <c r="Q1" s="28"/>
    </row>
    <row r="2" spans="1:17" ht="15.5">
      <c r="A2" s="98"/>
      <c r="B2" s="98"/>
      <c r="C2" s="98"/>
      <c r="D2" s="98"/>
      <c r="E2" s="98"/>
      <c r="F2" s="98"/>
      <c r="G2" s="98"/>
      <c r="H2" s="28"/>
      <c r="I2" s="28"/>
      <c r="J2" s="28"/>
      <c r="K2" s="28"/>
      <c r="L2" s="28"/>
      <c r="M2" s="28"/>
      <c r="N2" s="28"/>
      <c r="O2" s="28"/>
      <c r="P2" s="28"/>
      <c r="Q2" s="28"/>
    </row>
    <row r="3" spans="1:17" ht="47.25" customHeight="1">
      <c r="A3" s="667" t="s">
        <v>387</v>
      </c>
      <c r="B3" s="667"/>
      <c r="C3" s="667"/>
      <c r="D3" s="667"/>
      <c r="E3" s="667"/>
      <c r="F3" s="667"/>
      <c r="G3" s="667"/>
      <c r="H3" s="667"/>
      <c r="I3" s="28"/>
      <c r="J3" s="28"/>
      <c r="K3" s="28"/>
      <c r="L3" s="28"/>
      <c r="M3" s="28"/>
      <c r="N3" s="28"/>
      <c r="O3" s="28"/>
      <c r="P3" s="28"/>
      <c r="Q3" s="28"/>
    </row>
    <row r="4" spans="1:17" ht="16" thickBot="1">
      <c r="A4" s="221"/>
      <c r="B4" s="221"/>
      <c r="C4" s="221"/>
      <c r="D4" s="221"/>
      <c r="E4" s="221"/>
      <c r="F4" s="221"/>
      <c r="G4" s="221"/>
      <c r="H4" s="221"/>
      <c r="I4" s="28"/>
      <c r="J4" s="28"/>
      <c r="K4" s="28"/>
      <c r="L4" s="28"/>
      <c r="M4" s="28"/>
      <c r="N4" s="28"/>
      <c r="O4" s="28"/>
      <c r="P4" s="28"/>
      <c r="Q4" s="28"/>
    </row>
    <row r="5" spans="1:17" ht="43.5">
      <c r="A5" s="149" t="s">
        <v>29</v>
      </c>
      <c r="B5" s="148" t="s">
        <v>44</v>
      </c>
      <c r="C5" s="148" t="s">
        <v>62</v>
      </c>
      <c r="D5" s="148" t="s">
        <v>276</v>
      </c>
      <c r="E5" s="148" t="s">
        <v>64</v>
      </c>
      <c r="F5" s="148" t="s">
        <v>506</v>
      </c>
      <c r="G5" s="148" t="s">
        <v>278</v>
      </c>
      <c r="H5" s="148" t="s">
        <v>279</v>
      </c>
      <c r="I5" s="148" t="s">
        <v>277</v>
      </c>
      <c r="J5" s="148" t="s">
        <v>71</v>
      </c>
      <c r="K5" s="148" t="s">
        <v>67</v>
      </c>
      <c r="L5" s="148" t="s">
        <v>72</v>
      </c>
      <c r="M5" s="222" t="s">
        <v>70</v>
      </c>
      <c r="N5" s="217" t="s">
        <v>121</v>
      </c>
      <c r="O5" s="28"/>
      <c r="P5" s="28"/>
      <c r="Q5" s="28"/>
    </row>
    <row r="6" spans="1:17">
      <c r="A6" s="145">
        <v>1</v>
      </c>
      <c r="B6" s="16"/>
      <c r="C6" s="16"/>
      <c r="D6" s="22"/>
      <c r="E6" s="22"/>
      <c r="F6" s="22"/>
      <c r="G6" s="22"/>
      <c r="H6" s="22"/>
      <c r="I6" s="16"/>
      <c r="J6" s="16"/>
      <c r="K6" s="16"/>
      <c r="L6" s="16"/>
      <c r="M6" s="115"/>
      <c r="N6" s="46"/>
      <c r="O6" s="28"/>
      <c r="P6" s="28"/>
      <c r="Q6" s="28"/>
    </row>
    <row r="7" spans="1:17">
      <c r="A7" s="145">
        <v>2</v>
      </c>
      <c r="B7" s="16"/>
      <c r="C7" s="16"/>
      <c r="D7" s="22"/>
      <c r="E7" s="22"/>
      <c r="F7" s="22"/>
      <c r="G7" s="22"/>
      <c r="H7" s="22"/>
      <c r="I7" s="16"/>
      <c r="J7" s="16"/>
      <c r="K7" s="16"/>
      <c r="L7" s="16"/>
      <c r="M7" s="115"/>
      <c r="N7" s="46"/>
      <c r="O7" s="28"/>
      <c r="P7" s="28"/>
      <c r="Q7" s="28"/>
    </row>
    <row r="8" spans="1:17">
      <c r="A8" s="145">
        <v>3</v>
      </c>
      <c r="B8" s="16"/>
      <c r="C8" s="16"/>
      <c r="D8" s="22"/>
      <c r="E8" s="22"/>
      <c r="F8" s="22"/>
      <c r="G8" s="22"/>
      <c r="H8" s="22"/>
      <c r="I8" s="16"/>
      <c r="J8" s="16"/>
      <c r="K8" s="16"/>
      <c r="L8" s="16"/>
      <c r="M8" s="115"/>
      <c r="N8" s="46"/>
      <c r="O8" s="28"/>
      <c r="P8" s="28"/>
      <c r="Q8" s="28"/>
    </row>
    <row r="9" spans="1:17">
      <c r="A9" s="145">
        <v>4</v>
      </c>
      <c r="B9" s="16"/>
      <c r="C9" s="16"/>
      <c r="D9" s="22"/>
      <c r="E9" s="22"/>
      <c r="F9" s="22"/>
      <c r="G9" s="22"/>
      <c r="H9" s="22"/>
      <c r="I9" s="16"/>
      <c r="J9" s="16"/>
      <c r="K9" s="16"/>
      <c r="L9" s="16"/>
      <c r="M9" s="115"/>
      <c r="N9" s="46"/>
      <c r="O9" s="28"/>
      <c r="P9" s="28"/>
      <c r="Q9" s="28"/>
    </row>
    <row r="10" spans="1:17">
      <c r="A10" s="145">
        <v>5</v>
      </c>
      <c r="B10" s="16"/>
      <c r="C10" s="16"/>
      <c r="D10" s="22"/>
      <c r="E10" s="22"/>
      <c r="F10" s="22"/>
      <c r="G10" s="22"/>
      <c r="H10" s="22"/>
      <c r="I10" s="16"/>
      <c r="J10" s="16"/>
      <c r="K10" s="16"/>
      <c r="L10" s="16"/>
      <c r="M10" s="115"/>
      <c r="N10" s="46"/>
      <c r="O10" s="28"/>
      <c r="P10" s="28"/>
      <c r="Q10" s="28"/>
    </row>
    <row r="11" spans="1:17">
      <c r="A11" s="145">
        <v>6</v>
      </c>
      <c r="B11" s="16"/>
      <c r="C11" s="16"/>
      <c r="D11" s="22"/>
      <c r="E11" s="22"/>
      <c r="F11" s="22"/>
      <c r="G11" s="22"/>
      <c r="H11" s="22"/>
      <c r="I11" s="16"/>
      <c r="J11" s="16"/>
      <c r="K11" s="16"/>
      <c r="L11" s="16"/>
      <c r="M11" s="115"/>
      <c r="N11" s="46"/>
      <c r="O11" s="28"/>
      <c r="P11" s="28"/>
      <c r="Q11" s="28"/>
    </row>
    <row r="12" spans="1:17">
      <c r="A12" s="145">
        <v>7</v>
      </c>
      <c r="B12" s="16"/>
      <c r="C12" s="16"/>
      <c r="D12" s="22"/>
      <c r="E12" s="22"/>
      <c r="F12" s="22"/>
      <c r="G12" s="22"/>
      <c r="H12" s="22"/>
      <c r="I12" s="16"/>
      <c r="J12" s="16"/>
      <c r="K12" s="16"/>
      <c r="L12" s="16"/>
      <c r="M12" s="115"/>
      <c r="N12" s="46"/>
      <c r="O12" s="28"/>
      <c r="P12" s="28"/>
      <c r="Q12" s="28"/>
    </row>
    <row r="13" spans="1:17">
      <c r="A13" s="145">
        <v>8</v>
      </c>
      <c r="B13" s="16"/>
      <c r="C13" s="16"/>
      <c r="D13" s="22"/>
      <c r="E13" s="22"/>
      <c r="F13" s="22"/>
      <c r="G13" s="22"/>
      <c r="H13" s="22"/>
      <c r="I13" s="16"/>
      <c r="J13" s="16"/>
      <c r="K13" s="16"/>
      <c r="L13" s="16"/>
      <c r="M13" s="115"/>
      <c r="N13" s="46"/>
      <c r="O13" s="28"/>
      <c r="P13" s="28"/>
      <c r="Q13" s="28"/>
    </row>
    <row r="14" spans="1:17">
      <c r="A14" s="145">
        <v>9</v>
      </c>
      <c r="B14" s="16"/>
      <c r="C14" s="16"/>
      <c r="D14" s="22"/>
      <c r="E14" s="22"/>
      <c r="F14" s="22"/>
      <c r="G14" s="22"/>
      <c r="H14" s="22"/>
      <c r="I14" s="16"/>
      <c r="J14" s="16"/>
      <c r="K14" s="16"/>
      <c r="L14" s="16"/>
      <c r="M14" s="115"/>
      <c r="N14" s="46"/>
      <c r="O14" s="28"/>
      <c r="P14" s="28"/>
      <c r="Q14" s="28"/>
    </row>
    <row r="15" spans="1:17">
      <c r="A15" s="145">
        <v>10</v>
      </c>
      <c r="B15" s="16"/>
      <c r="C15" s="16"/>
      <c r="D15" s="22"/>
      <c r="E15" s="22"/>
      <c r="F15" s="22"/>
      <c r="G15" s="22"/>
      <c r="H15" s="22"/>
      <c r="I15" s="16"/>
      <c r="J15" s="16"/>
      <c r="K15" s="16"/>
      <c r="L15" s="16"/>
      <c r="M15" s="115"/>
      <c r="N15" s="46"/>
      <c r="O15" s="28"/>
      <c r="P15" s="28"/>
      <c r="Q15" s="28"/>
    </row>
    <row r="16" spans="1:17">
      <c r="A16" s="145">
        <v>11</v>
      </c>
      <c r="B16" s="16"/>
      <c r="C16" s="16"/>
      <c r="D16" s="22"/>
      <c r="E16" s="22"/>
      <c r="F16" s="22"/>
      <c r="G16" s="22"/>
      <c r="H16" s="22"/>
      <c r="I16" s="16"/>
      <c r="J16" s="16"/>
      <c r="K16" s="16"/>
      <c r="L16" s="16"/>
      <c r="M16" s="115"/>
      <c r="N16" s="46"/>
      <c r="O16" s="28"/>
      <c r="P16" s="28"/>
      <c r="Q16" s="28"/>
    </row>
    <row r="17" spans="1:17">
      <c r="A17" s="145">
        <v>12</v>
      </c>
      <c r="B17" s="16"/>
      <c r="C17" s="16"/>
      <c r="D17" s="22"/>
      <c r="E17" s="22"/>
      <c r="F17" s="22"/>
      <c r="G17" s="22"/>
      <c r="H17" s="22"/>
      <c r="I17" s="16"/>
      <c r="J17" s="16"/>
      <c r="K17" s="16"/>
      <c r="L17" s="16"/>
      <c r="M17" s="115"/>
      <c r="N17" s="46"/>
      <c r="O17" s="28"/>
      <c r="P17" s="28"/>
      <c r="Q17" s="28"/>
    </row>
    <row r="18" spans="1:17">
      <c r="A18" s="145">
        <v>13</v>
      </c>
      <c r="B18" s="16"/>
      <c r="C18" s="16"/>
      <c r="D18" s="22"/>
      <c r="E18" s="22"/>
      <c r="F18" s="22"/>
      <c r="G18" s="22"/>
      <c r="H18" s="22"/>
      <c r="I18" s="16"/>
      <c r="J18" s="16"/>
      <c r="K18" s="16"/>
      <c r="L18" s="16"/>
      <c r="M18" s="115"/>
      <c r="N18" s="46"/>
      <c r="O18" s="28"/>
      <c r="P18" s="28"/>
      <c r="Q18" s="28"/>
    </row>
    <row r="19" spans="1:17">
      <c r="A19" s="145">
        <v>14</v>
      </c>
      <c r="B19" s="16"/>
      <c r="C19" s="16"/>
      <c r="D19" s="22"/>
      <c r="E19" s="22"/>
      <c r="F19" s="22"/>
      <c r="G19" s="22"/>
      <c r="H19" s="22"/>
      <c r="I19" s="16"/>
      <c r="J19" s="16"/>
      <c r="K19" s="16"/>
      <c r="L19" s="16"/>
      <c r="M19" s="115"/>
      <c r="N19" s="46"/>
      <c r="O19" s="28"/>
      <c r="P19" s="28"/>
      <c r="Q19" s="28"/>
    </row>
    <row r="20" spans="1:17">
      <c r="A20" s="145">
        <v>15</v>
      </c>
      <c r="B20" s="16"/>
      <c r="C20" s="16"/>
      <c r="D20" s="22"/>
      <c r="E20" s="22"/>
      <c r="F20" s="22"/>
      <c r="G20" s="22"/>
      <c r="H20" s="22"/>
      <c r="I20" s="16"/>
      <c r="J20" s="16"/>
      <c r="K20" s="16"/>
      <c r="L20" s="16"/>
      <c r="M20" s="115"/>
      <c r="N20" s="46"/>
      <c r="O20" s="28"/>
      <c r="P20" s="28"/>
      <c r="Q20" s="28"/>
    </row>
    <row r="21" spans="1:17">
      <c r="A21" s="145">
        <v>16</v>
      </c>
      <c r="B21" s="16"/>
      <c r="C21" s="16"/>
      <c r="D21" s="22"/>
      <c r="E21" s="22"/>
      <c r="F21" s="22"/>
      <c r="G21" s="22"/>
      <c r="H21" s="22"/>
      <c r="I21" s="16"/>
      <c r="J21" s="16"/>
      <c r="K21" s="16"/>
      <c r="L21" s="16"/>
      <c r="M21" s="115"/>
      <c r="N21" s="46"/>
      <c r="O21" s="28"/>
      <c r="P21" s="28"/>
      <c r="Q21" s="28"/>
    </row>
    <row r="22" spans="1:17">
      <c r="A22" s="145">
        <v>17</v>
      </c>
      <c r="B22" s="16"/>
      <c r="C22" s="16"/>
      <c r="D22" s="22"/>
      <c r="E22" s="22"/>
      <c r="F22" s="22"/>
      <c r="G22" s="22"/>
      <c r="H22" s="22"/>
      <c r="I22" s="16"/>
      <c r="J22" s="16"/>
      <c r="K22" s="16"/>
      <c r="L22" s="16"/>
      <c r="M22" s="115"/>
      <c r="N22" s="46"/>
      <c r="O22" s="28"/>
      <c r="P22" s="28"/>
      <c r="Q22" s="28"/>
    </row>
    <row r="23" spans="1:17">
      <c r="A23" s="145">
        <v>18</v>
      </c>
      <c r="B23" s="16"/>
      <c r="C23" s="16"/>
      <c r="D23" s="22"/>
      <c r="E23" s="22"/>
      <c r="F23" s="22"/>
      <c r="G23" s="22"/>
      <c r="H23" s="22"/>
      <c r="I23" s="16"/>
      <c r="J23" s="16"/>
      <c r="K23" s="16"/>
      <c r="L23" s="16"/>
      <c r="M23" s="115"/>
      <c r="N23" s="46"/>
      <c r="O23" s="28"/>
      <c r="P23" s="28"/>
      <c r="Q23" s="28"/>
    </row>
    <row r="24" spans="1:17">
      <c r="A24" s="145">
        <v>19</v>
      </c>
      <c r="B24" s="16"/>
      <c r="C24" s="16"/>
      <c r="D24" s="22"/>
      <c r="E24" s="22"/>
      <c r="F24" s="22"/>
      <c r="G24" s="22"/>
      <c r="H24" s="22"/>
      <c r="I24" s="16"/>
      <c r="J24" s="16"/>
      <c r="K24" s="16"/>
      <c r="L24" s="16"/>
      <c r="M24" s="115"/>
      <c r="N24" s="46"/>
      <c r="O24" s="28"/>
      <c r="P24" s="28"/>
      <c r="Q24" s="28"/>
    </row>
    <row r="25" spans="1:17">
      <c r="A25" s="145">
        <v>20</v>
      </c>
      <c r="B25" s="16"/>
      <c r="C25" s="16"/>
      <c r="D25" s="22"/>
      <c r="E25" s="22"/>
      <c r="F25" s="22"/>
      <c r="G25" s="22"/>
      <c r="H25" s="22"/>
      <c r="I25" s="16"/>
      <c r="J25" s="16"/>
      <c r="K25" s="16"/>
      <c r="L25" s="16"/>
      <c r="M25" s="115"/>
      <c r="N25" s="46"/>
      <c r="O25" s="28"/>
      <c r="P25" s="28"/>
      <c r="Q25" s="28"/>
    </row>
    <row r="26" spans="1:17">
      <c r="A26" s="145">
        <v>21</v>
      </c>
      <c r="B26" s="16"/>
      <c r="C26" s="16"/>
      <c r="D26" s="22"/>
      <c r="E26" s="22"/>
      <c r="F26" s="22"/>
      <c r="G26" s="22"/>
      <c r="H26" s="22"/>
      <c r="I26" s="16"/>
      <c r="J26" s="16"/>
      <c r="K26" s="16"/>
      <c r="L26" s="16"/>
      <c r="M26" s="115"/>
      <c r="N26" s="46"/>
      <c r="O26" s="28"/>
      <c r="P26" s="28"/>
      <c r="Q26" s="28"/>
    </row>
    <row r="27" spans="1:17">
      <c r="A27" s="145">
        <v>22</v>
      </c>
      <c r="B27" s="16"/>
      <c r="C27" s="16"/>
      <c r="D27" s="22"/>
      <c r="E27" s="22"/>
      <c r="F27" s="22"/>
      <c r="G27" s="22"/>
      <c r="H27" s="22"/>
      <c r="I27" s="16"/>
      <c r="J27" s="16"/>
      <c r="K27" s="16"/>
      <c r="L27" s="16"/>
      <c r="M27" s="115"/>
      <c r="N27" s="46"/>
      <c r="O27" s="28"/>
      <c r="P27" s="28"/>
      <c r="Q27" s="28"/>
    </row>
    <row r="28" spans="1:17">
      <c r="A28" s="145">
        <v>23</v>
      </c>
      <c r="B28" s="16"/>
      <c r="C28" s="16"/>
      <c r="D28" s="22"/>
      <c r="E28" s="22"/>
      <c r="F28" s="22"/>
      <c r="G28" s="22"/>
      <c r="H28" s="22"/>
      <c r="I28" s="16"/>
      <c r="J28" s="16"/>
      <c r="K28" s="16"/>
      <c r="L28" s="16"/>
      <c r="M28" s="115"/>
      <c r="N28" s="46"/>
      <c r="O28" s="28"/>
      <c r="P28" s="28"/>
      <c r="Q28" s="28"/>
    </row>
    <row r="29" spans="1:17">
      <c r="A29" s="145">
        <v>24</v>
      </c>
      <c r="B29" s="16"/>
      <c r="C29" s="16"/>
      <c r="D29" s="22"/>
      <c r="E29" s="22"/>
      <c r="F29" s="22"/>
      <c r="G29" s="22"/>
      <c r="H29" s="22"/>
      <c r="I29" s="16"/>
      <c r="J29" s="16"/>
      <c r="K29" s="16"/>
      <c r="L29" s="16"/>
      <c r="M29" s="115"/>
      <c r="N29" s="46"/>
      <c r="O29" s="28"/>
      <c r="P29" s="28"/>
      <c r="Q29" s="28"/>
    </row>
    <row r="30" spans="1:17">
      <c r="A30" s="145">
        <v>25</v>
      </c>
      <c r="B30" s="16"/>
      <c r="C30" s="16"/>
      <c r="D30" s="22"/>
      <c r="E30" s="22"/>
      <c r="F30" s="22"/>
      <c r="G30" s="22"/>
      <c r="H30" s="22"/>
      <c r="I30" s="16"/>
      <c r="J30" s="16"/>
      <c r="K30" s="16"/>
      <c r="L30" s="16"/>
      <c r="M30" s="115"/>
      <c r="N30" s="46"/>
      <c r="O30" s="28"/>
      <c r="P30" s="28"/>
      <c r="Q30" s="28"/>
    </row>
    <row r="31" spans="1:17">
      <c r="A31" s="145">
        <v>26</v>
      </c>
      <c r="B31" s="16"/>
      <c r="C31" s="16"/>
      <c r="D31" s="22"/>
      <c r="E31" s="22"/>
      <c r="F31" s="22"/>
      <c r="G31" s="22"/>
      <c r="H31" s="22"/>
      <c r="I31" s="16"/>
      <c r="J31" s="16"/>
      <c r="K31" s="16"/>
      <c r="L31" s="16"/>
      <c r="M31" s="115"/>
      <c r="N31" s="46"/>
      <c r="O31" s="28"/>
      <c r="P31" s="28"/>
      <c r="Q31" s="28"/>
    </row>
    <row r="32" spans="1:17">
      <c r="A32" s="145">
        <v>27</v>
      </c>
      <c r="B32" s="16"/>
      <c r="C32" s="16"/>
      <c r="D32" s="22"/>
      <c r="E32" s="22"/>
      <c r="F32" s="22"/>
      <c r="G32" s="22"/>
      <c r="H32" s="22"/>
      <c r="I32" s="16"/>
      <c r="J32" s="16"/>
      <c r="K32" s="16"/>
      <c r="L32" s="16"/>
      <c r="M32" s="115"/>
      <c r="N32" s="46"/>
      <c r="O32" s="28"/>
      <c r="P32" s="28"/>
      <c r="Q32" s="28"/>
    </row>
    <row r="33" spans="1:17">
      <c r="A33" s="145">
        <v>28</v>
      </c>
      <c r="B33" s="16"/>
      <c r="C33" s="16"/>
      <c r="D33" s="22"/>
      <c r="E33" s="22"/>
      <c r="F33" s="22"/>
      <c r="G33" s="22"/>
      <c r="H33" s="22"/>
      <c r="I33" s="16"/>
      <c r="J33" s="16"/>
      <c r="K33" s="16"/>
      <c r="L33" s="16"/>
      <c r="M33" s="115"/>
      <c r="N33" s="46"/>
      <c r="O33" s="28"/>
      <c r="P33" s="28"/>
      <c r="Q33" s="28"/>
    </row>
    <row r="34" spans="1:17">
      <c r="A34" s="145">
        <v>29</v>
      </c>
      <c r="B34" s="16"/>
      <c r="C34" s="16"/>
      <c r="D34" s="22"/>
      <c r="E34" s="22"/>
      <c r="F34" s="22"/>
      <c r="G34" s="22"/>
      <c r="H34" s="22"/>
      <c r="I34" s="16"/>
      <c r="J34" s="16"/>
      <c r="K34" s="16"/>
      <c r="L34" s="16"/>
      <c r="M34" s="115"/>
      <c r="N34" s="46"/>
      <c r="O34" s="28"/>
      <c r="P34" s="28"/>
      <c r="Q34" s="28"/>
    </row>
    <row r="35" spans="1:17">
      <c r="A35" s="145">
        <v>30</v>
      </c>
      <c r="B35" s="16"/>
      <c r="C35" s="16"/>
      <c r="D35" s="22"/>
      <c r="E35" s="22"/>
      <c r="F35" s="22"/>
      <c r="G35" s="22"/>
      <c r="H35" s="22"/>
      <c r="I35" s="16"/>
      <c r="J35" s="16"/>
      <c r="K35" s="16"/>
      <c r="L35" s="16"/>
      <c r="M35" s="115"/>
      <c r="N35" s="46"/>
      <c r="O35" s="28"/>
      <c r="P35" s="28"/>
      <c r="Q35" s="28"/>
    </row>
    <row r="36" spans="1:17">
      <c r="A36" s="145">
        <v>31</v>
      </c>
      <c r="B36" s="16"/>
      <c r="C36" s="16"/>
      <c r="D36" s="22"/>
      <c r="E36" s="22"/>
      <c r="F36" s="22"/>
      <c r="G36" s="22"/>
      <c r="H36" s="22"/>
      <c r="I36" s="16"/>
      <c r="J36" s="16"/>
      <c r="K36" s="16"/>
      <c r="L36" s="16"/>
      <c r="M36" s="115"/>
      <c r="N36" s="46"/>
      <c r="O36" s="28"/>
      <c r="P36" s="28"/>
      <c r="Q36" s="28"/>
    </row>
    <row r="37" spans="1:17">
      <c r="A37" s="145">
        <v>32</v>
      </c>
      <c r="B37" s="16"/>
      <c r="C37" s="16"/>
      <c r="D37" s="22"/>
      <c r="E37" s="22"/>
      <c r="F37" s="22"/>
      <c r="G37" s="22"/>
      <c r="H37" s="22"/>
      <c r="I37" s="16"/>
      <c r="J37" s="16"/>
      <c r="K37" s="16"/>
      <c r="L37" s="16"/>
      <c r="M37" s="115"/>
      <c r="N37" s="46"/>
      <c r="O37" s="28"/>
      <c r="P37" s="28"/>
      <c r="Q37" s="28"/>
    </row>
    <row r="38" spans="1:17">
      <c r="A38" s="145">
        <v>33</v>
      </c>
      <c r="B38" s="16"/>
      <c r="C38" s="16"/>
      <c r="D38" s="22"/>
      <c r="E38" s="22"/>
      <c r="F38" s="22"/>
      <c r="G38" s="22"/>
      <c r="H38" s="22"/>
      <c r="I38" s="16"/>
      <c r="J38" s="16"/>
      <c r="K38" s="16"/>
      <c r="L38" s="16"/>
      <c r="M38" s="115"/>
      <c r="N38" s="46"/>
      <c r="O38" s="28"/>
      <c r="P38" s="28"/>
      <c r="Q38" s="28"/>
    </row>
    <row r="39" spans="1:17">
      <c r="A39" s="145">
        <v>34</v>
      </c>
      <c r="B39" s="16"/>
      <c r="C39" s="16"/>
      <c r="D39" s="22"/>
      <c r="E39" s="22"/>
      <c r="F39" s="22"/>
      <c r="G39" s="22"/>
      <c r="H39" s="22"/>
      <c r="I39" s="16"/>
      <c r="J39" s="16"/>
      <c r="K39" s="16"/>
      <c r="L39" s="16"/>
      <c r="M39" s="115"/>
      <c r="N39" s="46"/>
      <c r="O39" s="28"/>
      <c r="P39" s="28"/>
      <c r="Q39" s="28"/>
    </row>
    <row r="40" spans="1:17">
      <c r="A40" s="145">
        <v>35</v>
      </c>
      <c r="B40" s="16"/>
      <c r="C40" s="16"/>
      <c r="D40" s="22"/>
      <c r="E40" s="22"/>
      <c r="F40" s="22"/>
      <c r="G40" s="22"/>
      <c r="H40" s="22"/>
      <c r="I40" s="16"/>
      <c r="J40" s="16"/>
      <c r="K40" s="16"/>
      <c r="L40" s="16"/>
      <c r="M40" s="115"/>
      <c r="N40" s="46"/>
      <c r="O40" s="28"/>
      <c r="P40" s="28"/>
      <c r="Q40" s="28"/>
    </row>
    <row r="41" spans="1:17">
      <c r="A41" s="145">
        <v>36</v>
      </c>
      <c r="B41" s="16"/>
      <c r="C41" s="16"/>
      <c r="D41" s="22"/>
      <c r="E41" s="22"/>
      <c r="F41" s="22"/>
      <c r="G41" s="22"/>
      <c r="H41" s="22"/>
      <c r="I41" s="16"/>
      <c r="J41" s="16"/>
      <c r="K41" s="16"/>
      <c r="L41" s="16"/>
      <c r="M41" s="115"/>
      <c r="N41" s="46"/>
      <c r="O41" s="28"/>
      <c r="P41" s="28"/>
      <c r="Q41" s="28"/>
    </row>
    <row r="42" spans="1:17">
      <c r="A42" s="145">
        <v>37</v>
      </c>
      <c r="B42" s="16"/>
      <c r="C42" s="16"/>
      <c r="D42" s="22"/>
      <c r="E42" s="22"/>
      <c r="F42" s="22"/>
      <c r="G42" s="22"/>
      <c r="H42" s="22"/>
      <c r="I42" s="16"/>
      <c r="J42" s="16"/>
      <c r="K42" s="16"/>
      <c r="L42" s="16"/>
      <c r="M42" s="115"/>
      <c r="N42" s="46"/>
      <c r="O42" s="28"/>
      <c r="P42" s="28"/>
      <c r="Q42" s="28"/>
    </row>
    <row r="43" spans="1:17">
      <c r="A43" s="145">
        <v>38</v>
      </c>
      <c r="B43" s="16"/>
      <c r="C43" s="16"/>
      <c r="D43" s="22"/>
      <c r="E43" s="22"/>
      <c r="F43" s="22"/>
      <c r="G43" s="22"/>
      <c r="H43" s="22"/>
      <c r="I43" s="16"/>
      <c r="J43" s="16"/>
      <c r="K43" s="16"/>
      <c r="L43" s="16"/>
      <c r="M43" s="115"/>
      <c r="N43" s="46"/>
      <c r="O43" s="28"/>
      <c r="P43" s="28"/>
      <c r="Q43" s="28"/>
    </row>
    <row r="44" spans="1:17">
      <c r="A44" s="145">
        <v>39</v>
      </c>
      <c r="B44" s="16"/>
      <c r="C44" s="16"/>
      <c r="D44" s="22"/>
      <c r="E44" s="22"/>
      <c r="F44" s="22"/>
      <c r="G44" s="22"/>
      <c r="H44" s="22"/>
      <c r="I44" s="16"/>
      <c r="J44" s="16"/>
      <c r="K44" s="16"/>
      <c r="L44" s="16"/>
      <c r="M44" s="115"/>
      <c r="N44" s="46"/>
      <c r="O44" s="28"/>
      <c r="P44" s="28"/>
      <c r="Q44" s="28"/>
    </row>
    <row r="45" spans="1:17">
      <c r="A45" s="145">
        <v>40</v>
      </c>
      <c r="B45" s="16"/>
      <c r="C45" s="16"/>
      <c r="D45" s="22"/>
      <c r="E45" s="22"/>
      <c r="F45" s="22"/>
      <c r="G45" s="22"/>
      <c r="H45" s="22"/>
      <c r="I45" s="16"/>
      <c r="J45" s="16"/>
      <c r="K45" s="16"/>
      <c r="L45" s="16"/>
      <c r="M45" s="115"/>
      <c r="N45" s="46"/>
      <c r="O45" s="28"/>
      <c r="P45" s="28"/>
      <c r="Q45" s="28"/>
    </row>
    <row r="46" spans="1:17">
      <c r="A46" s="145">
        <v>41</v>
      </c>
      <c r="B46" s="16"/>
      <c r="C46" s="16"/>
      <c r="D46" s="22"/>
      <c r="E46" s="22"/>
      <c r="F46" s="22"/>
      <c r="G46" s="22"/>
      <c r="H46" s="22"/>
      <c r="I46" s="16"/>
      <c r="J46" s="16"/>
      <c r="K46" s="16"/>
      <c r="L46" s="16"/>
      <c r="M46" s="115"/>
      <c r="N46" s="46"/>
      <c r="O46" s="28"/>
      <c r="P46" s="28"/>
      <c r="Q46" s="28"/>
    </row>
    <row r="47" spans="1:17">
      <c r="A47" s="145">
        <v>42</v>
      </c>
      <c r="B47" s="16"/>
      <c r="C47" s="16"/>
      <c r="D47" s="22"/>
      <c r="E47" s="22"/>
      <c r="F47" s="22"/>
      <c r="G47" s="22"/>
      <c r="H47" s="22"/>
      <c r="I47" s="16"/>
      <c r="J47" s="16"/>
      <c r="K47" s="16"/>
      <c r="L47" s="16"/>
      <c r="M47" s="115"/>
      <c r="N47" s="46"/>
      <c r="O47" s="28"/>
      <c r="P47" s="28"/>
      <c r="Q47" s="28"/>
    </row>
    <row r="48" spans="1:17">
      <c r="A48" s="145">
        <v>43</v>
      </c>
      <c r="B48" s="16"/>
      <c r="C48" s="16"/>
      <c r="D48" s="22"/>
      <c r="E48" s="22"/>
      <c r="F48" s="22"/>
      <c r="G48" s="22"/>
      <c r="H48" s="22"/>
      <c r="I48" s="16"/>
      <c r="J48" s="16"/>
      <c r="K48" s="16"/>
      <c r="L48" s="16"/>
      <c r="M48" s="115"/>
      <c r="N48" s="46"/>
      <c r="O48" s="28"/>
      <c r="P48" s="28"/>
      <c r="Q48" s="28"/>
    </row>
    <row r="49" spans="1:17">
      <c r="A49" s="145">
        <v>44</v>
      </c>
      <c r="B49" s="16"/>
      <c r="C49" s="16"/>
      <c r="D49" s="22"/>
      <c r="E49" s="22"/>
      <c r="F49" s="22"/>
      <c r="G49" s="22"/>
      <c r="H49" s="22"/>
      <c r="I49" s="16"/>
      <c r="J49" s="16"/>
      <c r="K49" s="16"/>
      <c r="L49" s="16"/>
      <c r="M49" s="115"/>
      <c r="N49" s="46"/>
      <c r="O49" s="28"/>
      <c r="P49" s="28"/>
      <c r="Q49" s="28"/>
    </row>
    <row r="50" spans="1:17">
      <c r="A50" s="145">
        <v>45</v>
      </c>
      <c r="B50" s="16"/>
      <c r="C50" s="16"/>
      <c r="D50" s="22"/>
      <c r="E50" s="22"/>
      <c r="F50" s="22"/>
      <c r="G50" s="22"/>
      <c r="H50" s="22"/>
      <c r="I50" s="16"/>
      <c r="J50" s="16"/>
      <c r="K50" s="16"/>
      <c r="L50" s="16"/>
      <c r="M50" s="115"/>
      <c r="N50" s="46"/>
      <c r="O50" s="28"/>
      <c r="P50" s="28"/>
      <c r="Q50" s="28"/>
    </row>
    <row r="51" spans="1:17">
      <c r="A51" s="145">
        <v>46</v>
      </c>
      <c r="B51" s="16"/>
      <c r="C51" s="16"/>
      <c r="D51" s="22"/>
      <c r="E51" s="22"/>
      <c r="F51" s="22"/>
      <c r="G51" s="22"/>
      <c r="H51" s="22"/>
      <c r="I51" s="16"/>
      <c r="J51" s="16"/>
      <c r="K51" s="16"/>
      <c r="L51" s="16"/>
      <c r="M51" s="115"/>
      <c r="N51" s="46"/>
      <c r="O51" s="28"/>
      <c r="P51" s="28"/>
      <c r="Q51" s="28"/>
    </row>
    <row r="52" spans="1:17">
      <c r="A52" s="145">
        <v>47</v>
      </c>
      <c r="B52" s="16"/>
      <c r="C52" s="16"/>
      <c r="D52" s="22"/>
      <c r="E52" s="22"/>
      <c r="F52" s="22"/>
      <c r="G52" s="22"/>
      <c r="H52" s="22"/>
      <c r="I52" s="16"/>
      <c r="J52" s="16"/>
      <c r="K52" s="16"/>
      <c r="L52" s="16"/>
      <c r="M52" s="115"/>
      <c r="N52" s="46"/>
      <c r="O52" s="28"/>
      <c r="P52" s="28"/>
      <c r="Q52" s="28"/>
    </row>
    <row r="53" spans="1:17">
      <c r="A53" s="145">
        <v>48</v>
      </c>
      <c r="B53" s="16"/>
      <c r="C53" s="16"/>
      <c r="D53" s="22"/>
      <c r="E53" s="22"/>
      <c r="F53" s="22"/>
      <c r="G53" s="22"/>
      <c r="H53" s="22"/>
      <c r="I53" s="16"/>
      <c r="J53" s="16"/>
      <c r="K53" s="16"/>
      <c r="L53" s="16"/>
      <c r="M53" s="115"/>
      <c r="N53" s="46"/>
      <c r="O53" s="28"/>
      <c r="P53" s="28"/>
      <c r="Q53" s="28"/>
    </row>
    <row r="54" spans="1:17">
      <c r="A54" s="145">
        <v>49</v>
      </c>
      <c r="B54" s="16"/>
      <c r="C54" s="16"/>
      <c r="D54" s="22"/>
      <c r="E54" s="22"/>
      <c r="F54" s="22"/>
      <c r="G54" s="22"/>
      <c r="H54" s="22"/>
      <c r="I54" s="16"/>
      <c r="J54" s="16"/>
      <c r="K54" s="16"/>
      <c r="L54" s="16"/>
      <c r="M54" s="115"/>
      <c r="N54" s="46"/>
      <c r="O54" s="28"/>
      <c r="P54" s="28"/>
      <c r="Q54" s="28"/>
    </row>
    <row r="55" spans="1:17" ht="15" thickBot="1">
      <c r="A55" s="53">
        <v>50</v>
      </c>
      <c r="B55" s="48"/>
      <c r="C55" s="48"/>
      <c r="D55" s="94"/>
      <c r="E55" s="94"/>
      <c r="F55" s="94"/>
      <c r="G55" s="94"/>
      <c r="H55" s="94"/>
      <c r="I55" s="48"/>
      <c r="J55" s="48"/>
      <c r="K55" s="48"/>
      <c r="L55" s="48"/>
      <c r="M55" s="223"/>
      <c r="N55" s="49"/>
      <c r="O55" s="28"/>
      <c r="P55" s="28"/>
      <c r="Q55" s="28"/>
    </row>
    <row r="56" spans="1:17">
      <c r="A56" s="28"/>
      <c r="B56" s="28"/>
      <c r="C56" s="28"/>
      <c r="D56" s="28"/>
      <c r="E56" s="28"/>
      <c r="F56" s="28"/>
      <c r="G56" s="28"/>
      <c r="H56" s="28"/>
      <c r="I56" s="28"/>
      <c r="J56" s="28"/>
      <c r="K56" s="28"/>
      <c r="L56" s="28"/>
      <c r="M56" s="28"/>
      <c r="N56" s="28"/>
      <c r="O56" s="28"/>
      <c r="P56" s="28"/>
      <c r="Q56" s="28"/>
    </row>
    <row r="57" spans="1:17">
      <c r="A57" s="28"/>
      <c r="B57" s="28"/>
      <c r="C57" s="28"/>
      <c r="D57" s="28"/>
      <c r="E57" s="28"/>
      <c r="F57" s="28"/>
      <c r="G57" s="28"/>
      <c r="H57" s="28"/>
      <c r="I57" s="28"/>
      <c r="J57" s="28"/>
      <c r="K57" s="28"/>
      <c r="L57" s="28"/>
      <c r="M57" s="28"/>
      <c r="N57" s="28"/>
      <c r="O57" s="28"/>
      <c r="P57" s="28"/>
      <c r="Q57" s="28"/>
    </row>
    <row r="58" spans="1:17">
      <c r="A58" s="28"/>
      <c r="B58" s="28"/>
      <c r="C58" s="28"/>
      <c r="D58" s="28"/>
      <c r="E58" s="28"/>
      <c r="F58" s="28"/>
      <c r="G58" s="28"/>
      <c r="H58" s="28"/>
      <c r="I58" s="28"/>
      <c r="J58" s="28"/>
      <c r="K58" s="28"/>
      <c r="L58" s="28"/>
      <c r="M58" s="28"/>
      <c r="N58" s="28"/>
      <c r="O58" s="28"/>
      <c r="P58" s="28"/>
      <c r="Q58" s="28"/>
    </row>
    <row r="59" spans="1:17">
      <c r="A59" s="28"/>
      <c r="B59" s="28"/>
      <c r="C59" s="28"/>
      <c r="D59" s="28"/>
      <c r="E59" s="28"/>
      <c r="F59" s="28"/>
      <c r="G59" s="28"/>
      <c r="H59" s="28"/>
      <c r="I59" s="28"/>
      <c r="J59" s="28"/>
      <c r="K59" s="28"/>
      <c r="L59" s="28"/>
      <c r="M59" s="28"/>
      <c r="N59" s="28"/>
      <c r="O59" s="28"/>
      <c r="P59" s="28"/>
      <c r="Q59" s="28"/>
    </row>
    <row r="60" spans="1:17">
      <c r="A60" s="28"/>
      <c r="B60" s="28"/>
      <c r="C60" s="28"/>
      <c r="D60" s="28"/>
      <c r="E60" s="28"/>
      <c r="F60" s="28"/>
      <c r="G60" s="28"/>
      <c r="H60" s="28"/>
      <c r="I60" s="28"/>
      <c r="J60" s="28"/>
      <c r="K60" s="28"/>
      <c r="L60" s="28"/>
      <c r="M60" s="28"/>
      <c r="N60" s="28"/>
    </row>
  </sheetData>
  <autoFilter ref="A5:M5" xr:uid="{00000000-0009-0000-0000-00001D000000}"/>
  <mergeCells count="1">
    <mergeCell ref="A3:H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29"/>
  <dimension ref="A1:P63"/>
  <sheetViews>
    <sheetView topLeftCell="F1" zoomScaleNormal="100" workbookViewId="0">
      <selection activeCell="N6" sqref="N6"/>
    </sheetView>
  </sheetViews>
  <sheetFormatPr baseColWidth="10" defaultRowHeight="14.5"/>
  <cols>
    <col min="1" max="1" width="6.81640625" customWidth="1"/>
    <col min="2" max="8" width="18.453125" customWidth="1"/>
    <col min="9" max="9" width="29.26953125" customWidth="1"/>
    <col min="10" max="12" width="18.453125" customWidth="1"/>
    <col min="13" max="13" width="25.7265625" customWidth="1"/>
  </cols>
  <sheetData>
    <row r="1" spans="1:16" ht="15.5">
      <c r="A1" s="98" t="s">
        <v>388</v>
      </c>
      <c r="B1" s="98"/>
      <c r="C1" s="98"/>
      <c r="D1" s="28"/>
      <c r="E1" s="98"/>
      <c r="F1" s="98"/>
      <c r="G1" s="98"/>
      <c r="H1" s="28"/>
      <c r="I1" s="28"/>
      <c r="J1" s="28"/>
      <c r="K1" s="28"/>
      <c r="L1" s="28"/>
      <c r="M1" s="28"/>
      <c r="N1" s="28"/>
      <c r="O1" s="28"/>
      <c r="P1" s="28"/>
    </row>
    <row r="2" spans="1:16" ht="15.5">
      <c r="A2" s="98"/>
      <c r="B2" s="98"/>
      <c r="C2" s="98"/>
      <c r="D2" s="28"/>
      <c r="E2" s="98"/>
      <c r="F2" s="98"/>
      <c r="G2" s="98"/>
      <c r="H2" s="28"/>
      <c r="I2" s="28"/>
      <c r="J2" s="28"/>
      <c r="K2" s="28"/>
      <c r="L2" s="28"/>
      <c r="M2" s="28"/>
      <c r="N2" s="28"/>
      <c r="O2" s="28"/>
      <c r="P2" s="28"/>
    </row>
    <row r="3" spans="1:16" ht="40.5" customHeight="1">
      <c r="A3" s="654" t="s">
        <v>389</v>
      </c>
      <c r="B3" s="654"/>
      <c r="C3" s="654"/>
      <c r="D3" s="654"/>
      <c r="E3" s="654"/>
      <c r="F3" s="654"/>
      <c r="G3" s="654"/>
      <c r="H3" s="654"/>
      <c r="I3" s="28"/>
      <c r="J3" s="28"/>
      <c r="K3" s="28"/>
      <c r="L3" s="28"/>
      <c r="M3" s="28"/>
      <c r="N3" s="28"/>
      <c r="O3" s="28"/>
      <c r="P3" s="28"/>
    </row>
    <row r="4" spans="1:16" ht="47.25" customHeight="1">
      <c r="A4" s="653" t="s">
        <v>390</v>
      </c>
      <c r="B4" s="653"/>
      <c r="C4" s="653"/>
      <c r="D4" s="653"/>
      <c r="E4" s="653"/>
      <c r="F4" s="653"/>
      <c r="G4" s="653"/>
      <c r="H4" s="653"/>
      <c r="I4" s="28"/>
      <c r="J4" s="28"/>
      <c r="K4" s="28"/>
      <c r="L4" s="28"/>
      <c r="M4" s="28"/>
      <c r="N4" s="28"/>
      <c r="O4" s="28"/>
      <c r="P4" s="28"/>
    </row>
    <row r="5" spans="1:16" ht="18" customHeight="1" thickBot="1">
      <c r="A5" s="226"/>
      <c r="B5" s="226"/>
      <c r="C5" s="226"/>
      <c r="D5" s="226"/>
      <c r="E5" s="226"/>
      <c r="F5" s="226"/>
      <c r="G5" s="226"/>
      <c r="H5" s="226"/>
      <c r="I5" s="28"/>
      <c r="J5" s="28"/>
      <c r="K5" s="28"/>
      <c r="L5" s="28"/>
      <c r="M5" s="28"/>
      <c r="N5" s="28"/>
      <c r="O5" s="28"/>
      <c r="P5" s="28"/>
    </row>
    <row r="6" spans="1:16" ht="76.5" customHeight="1">
      <c r="A6" s="218" t="s">
        <v>29</v>
      </c>
      <c r="B6" s="219" t="s">
        <v>44</v>
      </c>
      <c r="C6" s="219" t="s">
        <v>73</v>
      </c>
      <c r="D6" s="219" t="s">
        <v>64</v>
      </c>
      <c r="E6" s="219" t="s">
        <v>74</v>
      </c>
      <c r="F6" s="219" t="s">
        <v>98</v>
      </c>
      <c r="G6" s="219" t="s">
        <v>391</v>
      </c>
      <c r="H6" s="219" t="s">
        <v>75</v>
      </c>
      <c r="I6" s="219" t="s">
        <v>280</v>
      </c>
      <c r="J6" s="219" t="s">
        <v>76</v>
      </c>
      <c r="K6" s="219" t="s">
        <v>77</v>
      </c>
      <c r="L6" s="220" t="s">
        <v>70</v>
      </c>
      <c r="M6" s="217" t="s">
        <v>0</v>
      </c>
      <c r="N6" s="28"/>
      <c r="O6" s="28"/>
      <c r="P6" s="28"/>
    </row>
    <row r="7" spans="1:16">
      <c r="A7" s="145">
        <v>1</v>
      </c>
      <c r="B7" s="20"/>
      <c r="C7" s="20"/>
      <c r="D7" s="20"/>
      <c r="E7" s="20"/>
      <c r="F7" s="20"/>
      <c r="G7" s="20"/>
      <c r="H7" s="20"/>
      <c r="I7" s="20"/>
      <c r="J7" s="20"/>
      <c r="K7" s="20"/>
      <c r="L7" s="20"/>
      <c r="M7" s="46"/>
      <c r="N7" s="28"/>
      <c r="O7" s="28"/>
      <c r="P7" s="28"/>
    </row>
    <row r="8" spans="1:16">
      <c r="A8" s="145">
        <v>2</v>
      </c>
      <c r="B8" s="20"/>
      <c r="C8" s="20"/>
      <c r="D8" s="20"/>
      <c r="E8" s="20"/>
      <c r="F8" s="20"/>
      <c r="G8" s="20"/>
      <c r="H8" s="20"/>
      <c r="I8" s="20"/>
      <c r="J8" s="20"/>
      <c r="K8" s="20"/>
      <c r="L8" s="20"/>
      <c r="M8" s="46"/>
      <c r="N8" s="28"/>
      <c r="O8" s="28"/>
      <c r="P8" s="28"/>
    </row>
    <row r="9" spans="1:16">
      <c r="A9" s="145">
        <v>3</v>
      </c>
      <c r="B9" s="20"/>
      <c r="C9" s="20"/>
      <c r="D9" s="20"/>
      <c r="E9" s="20"/>
      <c r="F9" s="20"/>
      <c r="G9" s="20"/>
      <c r="H9" s="20"/>
      <c r="I9" s="20"/>
      <c r="J9" s="20"/>
      <c r="K9" s="20"/>
      <c r="L9" s="20"/>
      <c r="M9" s="46"/>
      <c r="N9" s="28"/>
      <c r="O9" s="28"/>
      <c r="P9" s="28"/>
    </row>
    <row r="10" spans="1:16">
      <c r="A10" s="145">
        <v>4</v>
      </c>
      <c r="B10" s="20"/>
      <c r="C10" s="20"/>
      <c r="D10" s="20"/>
      <c r="E10" s="20"/>
      <c r="F10" s="20"/>
      <c r="G10" s="20"/>
      <c r="H10" s="20"/>
      <c r="I10" s="20"/>
      <c r="J10" s="20"/>
      <c r="K10" s="20"/>
      <c r="L10" s="20"/>
      <c r="M10" s="46"/>
      <c r="N10" s="28"/>
      <c r="O10" s="28"/>
      <c r="P10" s="28"/>
    </row>
    <row r="11" spans="1:16">
      <c r="A11" s="145">
        <v>5</v>
      </c>
      <c r="B11" s="20"/>
      <c r="C11" s="20"/>
      <c r="D11" s="20"/>
      <c r="E11" s="20"/>
      <c r="F11" s="20"/>
      <c r="G11" s="20"/>
      <c r="H11" s="20"/>
      <c r="I11" s="20"/>
      <c r="J11" s="20"/>
      <c r="K11" s="20"/>
      <c r="L11" s="20"/>
      <c r="M11" s="46"/>
      <c r="N11" s="28"/>
      <c r="O11" s="28"/>
      <c r="P11" s="28"/>
    </row>
    <row r="12" spans="1:16">
      <c r="A12" s="145">
        <v>6</v>
      </c>
      <c r="B12" s="20"/>
      <c r="C12" s="20"/>
      <c r="D12" s="20"/>
      <c r="E12" s="20"/>
      <c r="F12" s="20"/>
      <c r="G12" s="20"/>
      <c r="H12" s="20"/>
      <c r="I12" s="20"/>
      <c r="J12" s="20"/>
      <c r="K12" s="20"/>
      <c r="L12" s="20"/>
      <c r="M12" s="46"/>
      <c r="N12" s="28"/>
      <c r="O12" s="28"/>
      <c r="P12" s="28"/>
    </row>
    <row r="13" spans="1:16">
      <c r="A13" s="145">
        <v>7</v>
      </c>
      <c r="B13" s="20"/>
      <c r="C13" s="20"/>
      <c r="D13" s="20"/>
      <c r="E13" s="20"/>
      <c r="F13" s="20"/>
      <c r="G13" s="20"/>
      <c r="H13" s="20"/>
      <c r="I13" s="20"/>
      <c r="J13" s="20"/>
      <c r="K13" s="20"/>
      <c r="L13" s="20"/>
      <c r="M13" s="46"/>
      <c r="N13" s="28"/>
      <c r="O13" s="28"/>
      <c r="P13" s="28"/>
    </row>
    <row r="14" spans="1:16">
      <c r="A14" s="145">
        <v>8</v>
      </c>
      <c r="B14" s="20"/>
      <c r="C14" s="20"/>
      <c r="D14" s="20"/>
      <c r="E14" s="20"/>
      <c r="F14" s="20"/>
      <c r="G14" s="20"/>
      <c r="H14" s="20"/>
      <c r="I14" s="20"/>
      <c r="J14" s="20"/>
      <c r="K14" s="20"/>
      <c r="L14" s="20"/>
      <c r="M14" s="46"/>
      <c r="N14" s="28"/>
      <c r="O14" s="28"/>
      <c r="P14" s="28"/>
    </row>
    <row r="15" spans="1:16">
      <c r="A15" s="145">
        <v>9</v>
      </c>
      <c r="B15" s="20"/>
      <c r="C15" s="20"/>
      <c r="D15" s="20"/>
      <c r="E15" s="20"/>
      <c r="F15" s="20"/>
      <c r="G15" s="20"/>
      <c r="H15" s="20"/>
      <c r="I15" s="20"/>
      <c r="J15" s="20"/>
      <c r="K15" s="20"/>
      <c r="L15" s="20"/>
      <c r="M15" s="46"/>
      <c r="N15" s="28"/>
      <c r="O15" s="28"/>
      <c r="P15" s="28"/>
    </row>
    <row r="16" spans="1:16">
      <c r="A16" s="145">
        <v>10</v>
      </c>
      <c r="B16" s="20"/>
      <c r="C16" s="20"/>
      <c r="D16" s="20"/>
      <c r="E16" s="20"/>
      <c r="F16" s="20"/>
      <c r="G16" s="20"/>
      <c r="H16" s="20"/>
      <c r="I16" s="20"/>
      <c r="J16" s="20"/>
      <c r="K16" s="20"/>
      <c r="L16" s="20"/>
      <c r="M16" s="46"/>
      <c r="N16" s="28"/>
      <c r="O16" s="28"/>
      <c r="P16" s="28"/>
    </row>
    <row r="17" spans="1:16">
      <c r="A17" s="145">
        <v>11</v>
      </c>
      <c r="B17" s="20"/>
      <c r="C17" s="20"/>
      <c r="D17" s="20"/>
      <c r="E17" s="20"/>
      <c r="F17" s="20"/>
      <c r="G17" s="20"/>
      <c r="H17" s="20"/>
      <c r="I17" s="20"/>
      <c r="J17" s="20"/>
      <c r="K17" s="20"/>
      <c r="L17" s="20"/>
      <c r="M17" s="46"/>
      <c r="N17" s="28"/>
      <c r="O17" s="28"/>
      <c r="P17" s="28"/>
    </row>
    <row r="18" spans="1:16">
      <c r="A18" s="145">
        <v>12</v>
      </c>
      <c r="B18" s="20"/>
      <c r="C18" s="20"/>
      <c r="D18" s="20"/>
      <c r="E18" s="20"/>
      <c r="F18" s="20"/>
      <c r="G18" s="20"/>
      <c r="H18" s="20"/>
      <c r="I18" s="20"/>
      <c r="J18" s="20"/>
      <c r="K18" s="20"/>
      <c r="L18" s="20"/>
      <c r="M18" s="46"/>
      <c r="N18" s="28"/>
      <c r="O18" s="28"/>
      <c r="P18" s="28"/>
    </row>
    <row r="19" spans="1:16">
      <c r="A19" s="145">
        <v>13</v>
      </c>
      <c r="B19" s="20"/>
      <c r="C19" s="20"/>
      <c r="D19" s="20"/>
      <c r="E19" s="20"/>
      <c r="F19" s="20"/>
      <c r="G19" s="20"/>
      <c r="H19" s="20"/>
      <c r="I19" s="20"/>
      <c r="J19" s="20"/>
      <c r="K19" s="20"/>
      <c r="L19" s="20"/>
      <c r="M19" s="46"/>
      <c r="N19" s="28"/>
      <c r="O19" s="28"/>
      <c r="P19" s="28"/>
    </row>
    <row r="20" spans="1:16">
      <c r="A20" s="145">
        <v>14</v>
      </c>
      <c r="B20" s="20"/>
      <c r="C20" s="20"/>
      <c r="D20" s="20"/>
      <c r="E20" s="20"/>
      <c r="F20" s="20"/>
      <c r="G20" s="20"/>
      <c r="H20" s="20"/>
      <c r="I20" s="20"/>
      <c r="J20" s="20"/>
      <c r="K20" s="20"/>
      <c r="L20" s="20"/>
      <c r="M20" s="46"/>
      <c r="N20" s="28"/>
      <c r="O20" s="28"/>
      <c r="P20" s="28"/>
    </row>
    <row r="21" spans="1:16">
      <c r="A21" s="145">
        <v>15</v>
      </c>
      <c r="B21" s="20"/>
      <c r="C21" s="20"/>
      <c r="D21" s="20"/>
      <c r="E21" s="20"/>
      <c r="F21" s="20"/>
      <c r="G21" s="20"/>
      <c r="H21" s="20"/>
      <c r="I21" s="20"/>
      <c r="J21" s="20"/>
      <c r="K21" s="20"/>
      <c r="L21" s="20"/>
      <c r="M21" s="46"/>
      <c r="N21" s="28"/>
      <c r="O21" s="28"/>
      <c r="P21" s="28"/>
    </row>
    <row r="22" spans="1:16">
      <c r="A22" s="145">
        <v>16</v>
      </c>
      <c r="B22" s="20"/>
      <c r="C22" s="20"/>
      <c r="D22" s="20"/>
      <c r="E22" s="20"/>
      <c r="F22" s="20"/>
      <c r="G22" s="20"/>
      <c r="H22" s="20"/>
      <c r="I22" s="20"/>
      <c r="J22" s="20"/>
      <c r="K22" s="20"/>
      <c r="L22" s="20"/>
      <c r="M22" s="46"/>
      <c r="N22" s="28"/>
      <c r="O22" s="28"/>
      <c r="P22" s="28"/>
    </row>
    <row r="23" spans="1:16">
      <c r="A23" s="145">
        <v>17</v>
      </c>
      <c r="B23" s="20"/>
      <c r="C23" s="20"/>
      <c r="D23" s="20"/>
      <c r="E23" s="20"/>
      <c r="F23" s="20"/>
      <c r="G23" s="20"/>
      <c r="H23" s="20"/>
      <c r="I23" s="20"/>
      <c r="J23" s="20"/>
      <c r="K23" s="20"/>
      <c r="L23" s="20"/>
      <c r="M23" s="46"/>
      <c r="N23" s="28"/>
      <c r="O23" s="28"/>
      <c r="P23" s="28"/>
    </row>
    <row r="24" spans="1:16">
      <c r="A24" s="145">
        <v>18</v>
      </c>
      <c r="B24" s="20"/>
      <c r="C24" s="20"/>
      <c r="D24" s="20"/>
      <c r="E24" s="20"/>
      <c r="F24" s="20"/>
      <c r="G24" s="20"/>
      <c r="H24" s="20"/>
      <c r="I24" s="20"/>
      <c r="J24" s="20"/>
      <c r="K24" s="20"/>
      <c r="L24" s="20"/>
      <c r="M24" s="46"/>
      <c r="N24" s="28"/>
      <c r="O24" s="28"/>
      <c r="P24" s="28"/>
    </row>
    <row r="25" spans="1:16">
      <c r="A25" s="145">
        <v>19</v>
      </c>
      <c r="B25" s="20"/>
      <c r="C25" s="20"/>
      <c r="D25" s="20"/>
      <c r="E25" s="20"/>
      <c r="F25" s="20"/>
      <c r="G25" s="20"/>
      <c r="H25" s="20"/>
      <c r="I25" s="20"/>
      <c r="J25" s="20"/>
      <c r="K25" s="20"/>
      <c r="L25" s="20"/>
      <c r="M25" s="46"/>
      <c r="N25" s="28"/>
      <c r="O25" s="28"/>
      <c r="P25" s="28"/>
    </row>
    <row r="26" spans="1:16">
      <c r="A26" s="145">
        <v>20</v>
      </c>
      <c r="B26" s="20"/>
      <c r="C26" s="20"/>
      <c r="D26" s="20"/>
      <c r="E26" s="20"/>
      <c r="F26" s="20"/>
      <c r="G26" s="20"/>
      <c r="H26" s="20"/>
      <c r="I26" s="20"/>
      <c r="J26" s="20"/>
      <c r="K26" s="20"/>
      <c r="L26" s="20"/>
      <c r="M26" s="46"/>
      <c r="N26" s="28"/>
      <c r="O26" s="28"/>
      <c r="P26" s="28"/>
    </row>
    <row r="27" spans="1:16">
      <c r="A27" s="145">
        <v>21</v>
      </c>
      <c r="B27" s="20"/>
      <c r="C27" s="20"/>
      <c r="D27" s="20"/>
      <c r="E27" s="20"/>
      <c r="F27" s="20"/>
      <c r="G27" s="20"/>
      <c r="H27" s="20"/>
      <c r="I27" s="20"/>
      <c r="J27" s="20"/>
      <c r="K27" s="20"/>
      <c r="L27" s="20"/>
      <c r="M27" s="46"/>
      <c r="N27" s="28"/>
      <c r="O27" s="28"/>
      <c r="P27" s="28"/>
    </row>
    <row r="28" spans="1:16">
      <c r="A28" s="145">
        <v>22</v>
      </c>
      <c r="B28" s="20"/>
      <c r="C28" s="20"/>
      <c r="D28" s="20"/>
      <c r="E28" s="20"/>
      <c r="F28" s="20"/>
      <c r="G28" s="20"/>
      <c r="H28" s="20"/>
      <c r="I28" s="20"/>
      <c r="J28" s="20"/>
      <c r="K28" s="20"/>
      <c r="L28" s="20"/>
      <c r="M28" s="46"/>
      <c r="N28" s="28"/>
      <c r="O28" s="28"/>
      <c r="P28" s="28"/>
    </row>
    <row r="29" spans="1:16">
      <c r="A29" s="145">
        <v>23</v>
      </c>
      <c r="B29" s="20"/>
      <c r="C29" s="20"/>
      <c r="D29" s="20"/>
      <c r="E29" s="20"/>
      <c r="F29" s="20"/>
      <c r="G29" s="20"/>
      <c r="H29" s="20"/>
      <c r="I29" s="20"/>
      <c r="J29" s="20"/>
      <c r="K29" s="20"/>
      <c r="L29" s="20"/>
      <c r="M29" s="46"/>
      <c r="N29" s="28"/>
      <c r="O29" s="28"/>
      <c r="P29" s="28"/>
    </row>
    <row r="30" spans="1:16">
      <c r="A30" s="145">
        <v>24</v>
      </c>
      <c r="B30" s="20"/>
      <c r="C30" s="20"/>
      <c r="D30" s="20"/>
      <c r="E30" s="20"/>
      <c r="F30" s="20"/>
      <c r="G30" s="20"/>
      <c r="H30" s="20"/>
      <c r="I30" s="20"/>
      <c r="J30" s="20"/>
      <c r="K30" s="20"/>
      <c r="L30" s="20"/>
      <c r="M30" s="46"/>
      <c r="N30" s="28"/>
      <c r="O30" s="28"/>
      <c r="P30" s="28"/>
    </row>
    <row r="31" spans="1:16">
      <c r="A31" s="145">
        <v>25</v>
      </c>
      <c r="B31" s="20"/>
      <c r="C31" s="20"/>
      <c r="D31" s="20"/>
      <c r="E31" s="20"/>
      <c r="F31" s="20"/>
      <c r="G31" s="20"/>
      <c r="H31" s="20"/>
      <c r="I31" s="20"/>
      <c r="J31" s="20"/>
      <c r="K31" s="20"/>
      <c r="L31" s="20"/>
      <c r="M31" s="46"/>
      <c r="N31" s="28"/>
      <c r="O31" s="28"/>
      <c r="P31" s="28"/>
    </row>
    <row r="32" spans="1:16">
      <c r="A32" s="145">
        <v>26</v>
      </c>
      <c r="B32" s="20"/>
      <c r="C32" s="20"/>
      <c r="D32" s="20"/>
      <c r="E32" s="20"/>
      <c r="F32" s="20"/>
      <c r="G32" s="20"/>
      <c r="H32" s="20"/>
      <c r="I32" s="20"/>
      <c r="J32" s="20"/>
      <c r="K32" s="20"/>
      <c r="L32" s="20"/>
      <c r="M32" s="46"/>
      <c r="N32" s="28"/>
      <c r="O32" s="28"/>
      <c r="P32" s="28"/>
    </row>
    <row r="33" spans="1:16">
      <c r="A33" s="145">
        <v>27</v>
      </c>
      <c r="B33" s="20"/>
      <c r="C33" s="20"/>
      <c r="D33" s="20"/>
      <c r="E33" s="20"/>
      <c r="F33" s="20"/>
      <c r="G33" s="20"/>
      <c r="H33" s="20"/>
      <c r="I33" s="20"/>
      <c r="J33" s="20"/>
      <c r="K33" s="20"/>
      <c r="L33" s="20"/>
      <c r="M33" s="46"/>
      <c r="N33" s="28"/>
      <c r="O33" s="28"/>
      <c r="P33" s="28"/>
    </row>
    <row r="34" spans="1:16">
      <c r="A34" s="145">
        <v>28</v>
      </c>
      <c r="B34" s="20"/>
      <c r="C34" s="20"/>
      <c r="D34" s="20"/>
      <c r="E34" s="20"/>
      <c r="F34" s="20"/>
      <c r="G34" s="20"/>
      <c r="H34" s="20"/>
      <c r="I34" s="20"/>
      <c r="J34" s="20"/>
      <c r="K34" s="20"/>
      <c r="L34" s="20"/>
      <c r="M34" s="46"/>
      <c r="N34" s="28"/>
      <c r="O34" s="28"/>
      <c r="P34" s="28"/>
    </row>
    <row r="35" spans="1:16">
      <c r="A35" s="145">
        <v>29</v>
      </c>
      <c r="B35" s="20"/>
      <c r="C35" s="20"/>
      <c r="D35" s="20"/>
      <c r="E35" s="20"/>
      <c r="F35" s="20"/>
      <c r="G35" s="20"/>
      <c r="H35" s="20"/>
      <c r="I35" s="20"/>
      <c r="J35" s="20"/>
      <c r="K35" s="20"/>
      <c r="L35" s="20"/>
      <c r="M35" s="46"/>
      <c r="N35" s="28"/>
      <c r="O35" s="28"/>
      <c r="P35" s="28"/>
    </row>
    <row r="36" spans="1:16">
      <c r="A36" s="145">
        <v>30</v>
      </c>
      <c r="B36" s="20"/>
      <c r="C36" s="20"/>
      <c r="D36" s="20"/>
      <c r="E36" s="20"/>
      <c r="F36" s="20"/>
      <c r="G36" s="20"/>
      <c r="H36" s="20"/>
      <c r="I36" s="20"/>
      <c r="J36" s="20"/>
      <c r="K36" s="20"/>
      <c r="L36" s="20"/>
      <c r="M36" s="46"/>
      <c r="N36" s="28"/>
      <c r="O36" s="28"/>
      <c r="P36" s="28"/>
    </row>
    <row r="37" spans="1:16">
      <c r="A37" s="145">
        <v>31</v>
      </c>
      <c r="B37" s="20"/>
      <c r="C37" s="20"/>
      <c r="D37" s="20"/>
      <c r="E37" s="20"/>
      <c r="F37" s="20"/>
      <c r="G37" s="20"/>
      <c r="H37" s="20"/>
      <c r="I37" s="20"/>
      <c r="J37" s="20"/>
      <c r="K37" s="20"/>
      <c r="L37" s="20"/>
      <c r="M37" s="46"/>
      <c r="N37" s="28"/>
      <c r="O37" s="28"/>
      <c r="P37" s="28"/>
    </row>
    <row r="38" spans="1:16">
      <c r="A38" s="145">
        <v>32</v>
      </c>
      <c r="B38" s="20"/>
      <c r="C38" s="20"/>
      <c r="D38" s="20"/>
      <c r="E38" s="20"/>
      <c r="F38" s="20"/>
      <c r="G38" s="20"/>
      <c r="H38" s="20"/>
      <c r="I38" s="20"/>
      <c r="J38" s="20"/>
      <c r="K38" s="20"/>
      <c r="L38" s="20"/>
      <c r="M38" s="46"/>
      <c r="N38" s="28"/>
      <c r="O38" s="28"/>
      <c r="P38" s="28"/>
    </row>
    <row r="39" spans="1:16">
      <c r="A39" s="145">
        <v>33</v>
      </c>
      <c r="B39" s="20"/>
      <c r="C39" s="20"/>
      <c r="D39" s="20"/>
      <c r="E39" s="20"/>
      <c r="F39" s="20"/>
      <c r="G39" s="20"/>
      <c r="H39" s="20"/>
      <c r="I39" s="20"/>
      <c r="J39" s="20"/>
      <c r="K39" s="20"/>
      <c r="L39" s="20"/>
      <c r="M39" s="46"/>
      <c r="N39" s="28"/>
      <c r="O39" s="28"/>
      <c r="P39" s="28"/>
    </row>
    <row r="40" spans="1:16">
      <c r="A40" s="145">
        <v>34</v>
      </c>
      <c r="B40" s="20"/>
      <c r="C40" s="20"/>
      <c r="D40" s="20"/>
      <c r="E40" s="20"/>
      <c r="F40" s="20"/>
      <c r="G40" s="20"/>
      <c r="H40" s="20"/>
      <c r="I40" s="20"/>
      <c r="J40" s="20"/>
      <c r="K40" s="20"/>
      <c r="L40" s="20"/>
      <c r="M40" s="46"/>
      <c r="N40" s="28"/>
      <c r="O40" s="28"/>
      <c r="P40" s="28"/>
    </row>
    <row r="41" spans="1:16">
      <c r="A41" s="145">
        <v>35</v>
      </c>
      <c r="B41" s="20"/>
      <c r="C41" s="20"/>
      <c r="D41" s="20"/>
      <c r="E41" s="20"/>
      <c r="F41" s="20"/>
      <c r="G41" s="20"/>
      <c r="H41" s="20"/>
      <c r="I41" s="20"/>
      <c r="J41" s="20"/>
      <c r="K41" s="20"/>
      <c r="L41" s="20"/>
      <c r="M41" s="46"/>
      <c r="N41" s="28"/>
      <c r="O41" s="28"/>
      <c r="P41" s="28"/>
    </row>
    <row r="42" spans="1:16">
      <c r="A42" s="145">
        <v>36</v>
      </c>
      <c r="B42" s="20"/>
      <c r="C42" s="20"/>
      <c r="D42" s="20"/>
      <c r="E42" s="20"/>
      <c r="F42" s="20"/>
      <c r="G42" s="20"/>
      <c r="H42" s="20"/>
      <c r="I42" s="20"/>
      <c r="J42" s="20"/>
      <c r="K42" s="20"/>
      <c r="L42" s="20"/>
      <c r="M42" s="46"/>
      <c r="N42" s="28"/>
      <c r="O42" s="28"/>
      <c r="P42" s="28"/>
    </row>
    <row r="43" spans="1:16">
      <c r="A43" s="145">
        <v>37</v>
      </c>
      <c r="B43" s="20"/>
      <c r="C43" s="20"/>
      <c r="D43" s="20"/>
      <c r="E43" s="20"/>
      <c r="F43" s="20"/>
      <c r="G43" s="20"/>
      <c r="H43" s="20"/>
      <c r="I43" s="20"/>
      <c r="J43" s="20"/>
      <c r="K43" s="20"/>
      <c r="L43" s="20"/>
      <c r="M43" s="46"/>
      <c r="N43" s="28"/>
      <c r="O43" s="28"/>
      <c r="P43" s="28"/>
    </row>
    <row r="44" spans="1:16">
      <c r="A44" s="145">
        <v>38</v>
      </c>
      <c r="B44" s="20"/>
      <c r="C44" s="20"/>
      <c r="D44" s="20"/>
      <c r="E44" s="20"/>
      <c r="F44" s="20"/>
      <c r="G44" s="20"/>
      <c r="H44" s="20"/>
      <c r="I44" s="20"/>
      <c r="J44" s="20"/>
      <c r="K44" s="20"/>
      <c r="L44" s="20"/>
      <c r="M44" s="46"/>
      <c r="N44" s="28"/>
      <c r="O44" s="28"/>
      <c r="P44" s="28"/>
    </row>
    <row r="45" spans="1:16">
      <c r="A45" s="145">
        <v>39</v>
      </c>
      <c r="B45" s="20"/>
      <c r="C45" s="20"/>
      <c r="D45" s="20"/>
      <c r="E45" s="20"/>
      <c r="F45" s="20"/>
      <c r="G45" s="20"/>
      <c r="H45" s="20"/>
      <c r="I45" s="20"/>
      <c r="J45" s="20"/>
      <c r="K45" s="20"/>
      <c r="L45" s="20"/>
      <c r="M45" s="46"/>
      <c r="N45" s="28"/>
      <c r="O45" s="28"/>
      <c r="P45" s="28"/>
    </row>
    <row r="46" spans="1:16">
      <c r="A46" s="145">
        <v>40</v>
      </c>
      <c r="B46" s="20"/>
      <c r="C46" s="20"/>
      <c r="D46" s="20"/>
      <c r="E46" s="20"/>
      <c r="F46" s="20"/>
      <c r="G46" s="20"/>
      <c r="H46" s="20"/>
      <c r="I46" s="20"/>
      <c r="J46" s="20"/>
      <c r="K46" s="20"/>
      <c r="L46" s="20"/>
      <c r="M46" s="46"/>
      <c r="N46" s="28"/>
      <c r="O46" s="28"/>
      <c r="P46" s="28"/>
    </row>
    <row r="47" spans="1:16">
      <c r="A47" s="145">
        <v>41</v>
      </c>
      <c r="B47" s="20"/>
      <c r="C47" s="20"/>
      <c r="D47" s="20"/>
      <c r="E47" s="20"/>
      <c r="F47" s="20"/>
      <c r="G47" s="20"/>
      <c r="H47" s="20"/>
      <c r="I47" s="20"/>
      <c r="J47" s="20"/>
      <c r="K47" s="20"/>
      <c r="L47" s="20"/>
      <c r="M47" s="46"/>
      <c r="N47" s="28"/>
      <c r="O47" s="28"/>
      <c r="P47" s="28"/>
    </row>
    <row r="48" spans="1:16">
      <c r="A48" s="145">
        <v>42</v>
      </c>
      <c r="B48" s="20"/>
      <c r="C48" s="20"/>
      <c r="D48" s="20"/>
      <c r="E48" s="20"/>
      <c r="F48" s="20"/>
      <c r="G48" s="20"/>
      <c r="H48" s="20"/>
      <c r="I48" s="20"/>
      <c r="J48" s="20"/>
      <c r="K48" s="20"/>
      <c r="L48" s="20"/>
      <c r="M48" s="46"/>
      <c r="N48" s="28"/>
      <c r="O48" s="28"/>
      <c r="P48" s="28"/>
    </row>
    <row r="49" spans="1:16">
      <c r="A49" s="145">
        <v>43</v>
      </c>
      <c r="B49" s="20"/>
      <c r="C49" s="20"/>
      <c r="D49" s="20"/>
      <c r="E49" s="20"/>
      <c r="F49" s="20"/>
      <c r="G49" s="20"/>
      <c r="H49" s="20"/>
      <c r="I49" s="20"/>
      <c r="J49" s="20"/>
      <c r="K49" s="20"/>
      <c r="L49" s="20"/>
      <c r="M49" s="46"/>
      <c r="N49" s="28"/>
      <c r="O49" s="28"/>
      <c r="P49" s="28"/>
    </row>
    <row r="50" spans="1:16">
      <c r="A50" s="145">
        <v>44</v>
      </c>
      <c r="B50" s="20"/>
      <c r="C50" s="20"/>
      <c r="D50" s="20"/>
      <c r="E50" s="20"/>
      <c r="F50" s="20"/>
      <c r="G50" s="20"/>
      <c r="H50" s="20"/>
      <c r="I50" s="20"/>
      <c r="J50" s="20"/>
      <c r="K50" s="20"/>
      <c r="L50" s="20"/>
      <c r="M50" s="46"/>
      <c r="N50" s="28"/>
      <c r="O50" s="28"/>
      <c r="P50" s="28"/>
    </row>
    <row r="51" spans="1:16">
      <c r="A51" s="145">
        <v>45</v>
      </c>
      <c r="B51" s="20"/>
      <c r="C51" s="20"/>
      <c r="D51" s="20"/>
      <c r="E51" s="20"/>
      <c r="F51" s="20"/>
      <c r="G51" s="20"/>
      <c r="H51" s="20"/>
      <c r="I51" s="20"/>
      <c r="J51" s="20"/>
      <c r="K51" s="20"/>
      <c r="L51" s="20"/>
      <c r="M51" s="46"/>
      <c r="N51" s="28"/>
      <c r="O51" s="28"/>
      <c r="P51" s="28"/>
    </row>
    <row r="52" spans="1:16">
      <c r="A52" s="145">
        <v>46</v>
      </c>
      <c r="B52" s="20"/>
      <c r="C52" s="20"/>
      <c r="D52" s="20"/>
      <c r="E52" s="20"/>
      <c r="F52" s="20"/>
      <c r="G52" s="20"/>
      <c r="H52" s="20"/>
      <c r="I52" s="20"/>
      <c r="J52" s="20"/>
      <c r="K52" s="20"/>
      <c r="L52" s="20"/>
      <c r="M52" s="46"/>
      <c r="N52" s="28"/>
      <c r="O52" s="28"/>
      <c r="P52" s="28"/>
    </row>
    <row r="53" spans="1:16">
      <c r="A53" s="145">
        <v>47</v>
      </c>
      <c r="B53" s="20"/>
      <c r="C53" s="20"/>
      <c r="D53" s="20"/>
      <c r="E53" s="20"/>
      <c r="F53" s="20"/>
      <c r="G53" s="20"/>
      <c r="H53" s="20"/>
      <c r="I53" s="20"/>
      <c r="J53" s="20"/>
      <c r="K53" s="20"/>
      <c r="L53" s="20"/>
      <c r="M53" s="46"/>
      <c r="N53" s="28"/>
      <c r="O53" s="28"/>
      <c r="P53" s="28"/>
    </row>
    <row r="54" spans="1:16">
      <c r="A54" s="145">
        <v>48</v>
      </c>
      <c r="B54" s="20"/>
      <c r="C54" s="20"/>
      <c r="D54" s="20"/>
      <c r="E54" s="20"/>
      <c r="F54" s="20"/>
      <c r="G54" s="20"/>
      <c r="H54" s="20"/>
      <c r="I54" s="20"/>
      <c r="J54" s="20"/>
      <c r="K54" s="20"/>
      <c r="L54" s="20"/>
      <c r="M54" s="46"/>
      <c r="N54" s="28"/>
      <c r="O54" s="28"/>
      <c r="P54" s="28"/>
    </row>
    <row r="55" spans="1:16">
      <c r="A55" s="145">
        <v>49</v>
      </c>
      <c r="B55" s="20"/>
      <c r="C55" s="20"/>
      <c r="D55" s="20"/>
      <c r="E55" s="20"/>
      <c r="F55" s="20"/>
      <c r="G55" s="20"/>
      <c r="H55" s="20"/>
      <c r="I55" s="20"/>
      <c r="J55" s="20"/>
      <c r="K55" s="20"/>
      <c r="L55" s="20"/>
      <c r="M55" s="46"/>
      <c r="N55" s="28"/>
      <c r="O55" s="28"/>
      <c r="P55" s="28"/>
    </row>
    <row r="56" spans="1:16" ht="15" thickBot="1">
      <c r="A56" s="53">
        <v>50</v>
      </c>
      <c r="B56" s="95"/>
      <c r="C56" s="95"/>
      <c r="D56" s="95"/>
      <c r="E56" s="95"/>
      <c r="F56" s="95"/>
      <c r="G56" s="95"/>
      <c r="H56" s="95"/>
      <c r="I56" s="95"/>
      <c r="J56" s="95"/>
      <c r="K56" s="95"/>
      <c r="L56" s="95"/>
      <c r="M56" s="49"/>
      <c r="N56" s="28"/>
      <c r="O56" s="28"/>
      <c r="P56" s="28"/>
    </row>
    <row r="57" spans="1:16">
      <c r="A57" s="28"/>
      <c r="B57" s="28"/>
      <c r="C57" s="28"/>
      <c r="D57" s="28"/>
      <c r="E57" s="28"/>
      <c r="F57" s="28"/>
      <c r="G57" s="28"/>
      <c r="H57" s="28"/>
      <c r="I57" s="28"/>
      <c r="J57" s="28"/>
      <c r="K57" s="28"/>
      <c r="L57" s="28"/>
      <c r="M57" s="28"/>
      <c r="N57" s="28"/>
      <c r="O57" s="28"/>
      <c r="P57" s="28"/>
    </row>
    <row r="58" spans="1:16">
      <c r="A58" s="28"/>
      <c r="B58" s="28"/>
      <c r="C58" s="28"/>
      <c r="D58" s="28"/>
      <c r="E58" s="28"/>
      <c r="F58" s="28"/>
      <c r="G58" s="28"/>
      <c r="H58" s="28"/>
      <c r="I58" s="28"/>
      <c r="J58" s="28"/>
      <c r="K58" s="28"/>
      <c r="L58" s="28"/>
      <c r="M58" s="28"/>
      <c r="N58" s="28"/>
      <c r="O58" s="28"/>
      <c r="P58" s="28"/>
    </row>
    <row r="59" spans="1:16">
      <c r="A59" s="28"/>
      <c r="B59" s="28"/>
      <c r="C59" s="28"/>
      <c r="D59" s="28"/>
      <c r="E59" s="28"/>
      <c r="F59" s="28"/>
      <c r="G59" s="28"/>
      <c r="H59" s="28"/>
      <c r="I59" s="28"/>
      <c r="J59" s="28"/>
      <c r="K59" s="28"/>
      <c r="L59" s="28"/>
      <c r="M59" s="28"/>
      <c r="N59" s="28"/>
      <c r="O59" s="28"/>
      <c r="P59" s="28"/>
    </row>
    <row r="60" spans="1:16">
      <c r="A60" s="28"/>
      <c r="B60" s="28"/>
      <c r="C60" s="28"/>
      <c r="D60" s="28"/>
      <c r="E60" s="28"/>
      <c r="F60" s="28"/>
      <c r="G60" s="28"/>
      <c r="H60" s="28"/>
      <c r="I60" s="28"/>
      <c r="J60" s="28"/>
      <c r="K60" s="28"/>
      <c r="L60" s="28"/>
      <c r="M60" s="28"/>
      <c r="N60" s="28"/>
      <c r="O60" s="28"/>
      <c r="P60" s="28"/>
    </row>
    <row r="61" spans="1:16">
      <c r="A61" s="28"/>
      <c r="B61" s="28"/>
      <c r="C61" s="28"/>
      <c r="D61" s="28"/>
      <c r="E61" s="28"/>
      <c r="F61" s="28"/>
      <c r="G61" s="28"/>
      <c r="H61" s="28"/>
      <c r="I61" s="28"/>
      <c r="J61" s="28"/>
      <c r="K61" s="28"/>
      <c r="L61" s="28"/>
      <c r="M61" s="28"/>
      <c r="N61" s="28"/>
      <c r="O61" s="28"/>
      <c r="P61" s="28"/>
    </row>
    <row r="62" spans="1:16">
      <c r="A62" s="28"/>
      <c r="B62" s="28"/>
      <c r="C62" s="28"/>
      <c r="D62" s="28"/>
      <c r="E62" s="28"/>
      <c r="F62" s="28"/>
      <c r="G62" s="28"/>
      <c r="H62" s="28"/>
      <c r="I62" s="28"/>
      <c r="J62" s="28"/>
      <c r="K62" s="28"/>
      <c r="L62" s="28"/>
      <c r="M62" s="28"/>
      <c r="N62" s="28"/>
      <c r="O62" s="28"/>
      <c r="P62" s="28"/>
    </row>
    <row r="63" spans="1:16">
      <c r="A63" s="28"/>
      <c r="B63" s="28"/>
      <c r="C63" s="28"/>
      <c r="D63" s="28"/>
      <c r="E63" s="28"/>
      <c r="F63" s="28"/>
      <c r="G63" s="28"/>
      <c r="H63" s="28"/>
      <c r="I63" s="28"/>
      <c r="J63" s="28"/>
      <c r="K63" s="28"/>
      <c r="L63" s="28"/>
      <c r="M63" s="28"/>
      <c r="N63" s="28"/>
      <c r="O63" s="28"/>
      <c r="P63" s="28"/>
    </row>
  </sheetData>
  <autoFilter ref="A6:L6" xr:uid="{00000000-0009-0000-0000-00001E000000}"/>
  <mergeCells count="2">
    <mergeCell ref="A3:H3"/>
    <mergeCell ref="A4:H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30"/>
  <dimension ref="A1:O60"/>
  <sheetViews>
    <sheetView workbookViewId="0">
      <selection activeCell="A3" sqref="A3:G3"/>
    </sheetView>
  </sheetViews>
  <sheetFormatPr baseColWidth="10" defaultRowHeight="14.5"/>
  <cols>
    <col min="1" max="1" width="5.453125" customWidth="1"/>
    <col min="2" max="2" width="14.1796875" customWidth="1"/>
    <col min="3" max="3" width="14.81640625" customWidth="1"/>
    <col min="5" max="5" width="17.453125" customWidth="1"/>
    <col min="12" max="12" width="17.26953125" customWidth="1"/>
  </cols>
  <sheetData>
    <row r="1" spans="1:15" ht="15.5">
      <c r="A1" s="212" t="s">
        <v>392</v>
      </c>
      <c r="B1" s="212"/>
      <c r="C1" s="212"/>
      <c r="D1" s="213"/>
      <c r="E1" s="213"/>
      <c r="F1" s="212"/>
      <c r="G1" s="213"/>
      <c r="H1" s="213"/>
      <c r="I1" s="213"/>
      <c r="J1" s="213"/>
      <c r="K1" s="213"/>
      <c r="L1" s="213"/>
      <c r="M1" s="213"/>
      <c r="N1" s="213"/>
      <c r="O1" s="213"/>
    </row>
    <row r="2" spans="1:15" ht="15.5">
      <c r="A2" s="212"/>
      <c r="B2" s="212"/>
      <c r="C2" s="212"/>
      <c r="D2" s="213"/>
      <c r="E2" s="213"/>
      <c r="F2" s="212"/>
      <c r="G2" s="213"/>
      <c r="H2" s="213"/>
      <c r="I2" s="213"/>
      <c r="J2" s="213"/>
      <c r="K2" s="213"/>
      <c r="L2" s="213"/>
      <c r="M2" s="213"/>
      <c r="N2" s="213"/>
      <c r="O2" s="213"/>
    </row>
    <row r="3" spans="1:15" ht="35.25" customHeight="1">
      <c r="A3" s="359" t="s">
        <v>393</v>
      </c>
      <c r="B3" s="359"/>
      <c r="C3" s="359"/>
      <c r="D3" s="359"/>
      <c r="E3" s="359"/>
      <c r="F3" s="359"/>
      <c r="G3" s="359"/>
      <c r="H3" s="213"/>
      <c r="I3" s="213"/>
      <c r="J3" s="213"/>
      <c r="K3" s="213"/>
      <c r="L3" s="213"/>
      <c r="M3" s="213"/>
      <c r="N3" s="213"/>
      <c r="O3" s="213"/>
    </row>
    <row r="4" spans="1:15" ht="16" thickBot="1">
      <c r="A4" s="212"/>
      <c r="B4" s="212"/>
      <c r="C4" s="212"/>
      <c r="D4" s="213"/>
      <c r="E4" s="213"/>
      <c r="F4" s="212"/>
      <c r="G4" s="213"/>
      <c r="H4" s="213"/>
      <c r="I4" s="213"/>
      <c r="J4" s="213"/>
      <c r="K4" s="213"/>
      <c r="L4" s="213"/>
      <c r="M4" s="213"/>
      <c r="N4" s="213"/>
      <c r="O4" s="213"/>
    </row>
    <row r="5" spans="1:15" ht="58">
      <c r="A5" s="214" t="s">
        <v>29</v>
      </c>
      <c r="B5" s="215" t="s">
        <v>44</v>
      </c>
      <c r="C5" s="215" t="s">
        <v>78</v>
      </c>
      <c r="D5" s="215" t="s">
        <v>64</v>
      </c>
      <c r="E5" s="215" t="s">
        <v>394</v>
      </c>
      <c r="F5" s="215" t="s">
        <v>79</v>
      </c>
      <c r="G5" s="215" t="s">
        <v>80</v>
      </c>
      <c r="H5" s="215" t="s">
        <v>81</v>
      </c>
      <c r="I5" s="215" t="s">
        <v>82</v>
      </c>
      <c r="J5" s="215" t="s">
        <v>77</v>
      </c>
      <c r="K5" s="216" t="s">
        <v>70</v>
      </c>
      <c r="L5" s="217" t="s">
        <v>121</v>
      </c>
      <c r="M5" s="28"/>
      <c r="N5" s="28"/>
      <c r="O5" s="28"/>
    </row>
    <row r="6" spans="1:15">
      <c r="A6" s="145">
        <v>1</v>
      </c>
      <c r="B6" s="20"/>
      <c r="C6" s="20"/>
      <c r="D6" s="20"/>
      <c r="E6" s="20"/>
      <c r="F6" s="20"/>
      <c r="G6" s="20"/>
      <c r="H6" s="20"/>
      <c r="I6" s="20"/>
      <c r="J6" s="20"/>
      <c r="K6" s="20"/>
      <c r="L6" s="46"/>
      <c r="M6" s="28"/>
      <c r="N6" s="28"/>
      <c r="O6" s="28"/>
    </row>
    <row r="7" spans="1:15">
      <c r="A7" s="145">
        <v>2</v>
      </c>
      <c r="B7" s="20"/>
      <c r="C7" s="20"/>
      <c r="D7" s="20"/>
      <c r="E7" s="20"/>
      <c r="F7" s="20"/>
      <c r="G7" s="20"/>
      <c r="H7" s="20"/>
      <c r="I7" s="20"/>
      <c r="J7" s="20"/>
      <c r="K7" s="20"/>
      <c r="L7" s="46"/>
      <c r="M7" s="28"/>
      <c r="N7" s="28"/>
      <c r="O7" s="28"/>
    </row>
    <row r="8" spans="1:15">
      <c r="A8" s="145">
        <v>3</v>
      </c>
      <c r="B8" s="20"/>
      <c r="C8" s="20"/>
      <c r="D8" s="20"/>
      <c r="E8" s="20"/>
      <c r="F8" s="20"/>
      <c r="G8" s="20"/>
      <c r="H8" s="20"/>
      <c r="I8" s="20"/>
      <c r="J8" s="20"/>
      <c r="K8" s="20"/>
      <c r="L8" s="46"/>
      <c r="M8" s="28"/>
      <c r="N8" s="28"/>
      <c r="O8" s="28"/>
    </row>
    <row r="9" spans="1:15">
      <c r="A9" s="145">
        <v>4</v>
      </c>
      <c r="B9" s="20"/>
      <c r="C9" s="20"/>
      <c r="D9" s="20"/>
      <c r="E9" s="20"/>
      <c r="F9" s="20"/>
      <c r="G9" s="20"/>
      <c r="H9" s="20"/>
      <c r="I9" s="20"/>
      <c r="J9" s="20"/>
      <c r="K9" s="20"/>
      <c r="L9" s="46"/>
      <c r="M9" s="28"/>
      <c r="N9" s="28"/>
      <c r="O9" s="28"/>
    </row>
    <row r="10" spans="1:15">
      <c r="A10" s="145">
        <v>5</v>
      </c>
      <c r="B10" s="20"/>
      <c r="C10" s="20"/>
      <c r="D10" s="20"/>
      <c r="E10" s="20"/>
      <c r="F10" s="20"/>
      <c r="G10" s="20"/>
      <c r="H10" s="20"/>
      <c r="I10" s="20"/>
      <c r="J10" s="20"/>
      <c r="K10" s="20"/>
      <c r="L10" s="46"/>
      <c r="M10" s="28"/>
      <c r="N10" s="28"/>
      <c r="O10" s="28"/>
    </row>
    <row r="11" spans="1:15">
      <c r="A11" s="145">
        <v>6</v>
      </c>
      <c r="B11" s="20"/>
      <c r="C11" s="20"/>
      <c r="D11" s="20"/>
      <c r="E11" s="20"/>
      <c r="F11" s="20"/>
      <c r="G11" s="20"/>
      <c r="H11" s="20"/>
      <c r="I11" s="20"/>
      <c r="J11" s="20"/>
      <c r="K11" s="20"/>
      <c r="L11" s="46"/>
      <c r="M11" s="28"/>
      <c r="N11" s="28"/>
      <c r="O11" s="28"/>
    </row>
    <row r="12" spans="1:15">
      <c r="A12" s="145">
        <v>7</v>
      </c>
      <c r="B12" s="20"/>
      <c r="C12" s="20"/>
      <c r="D12" s="20"/>
      <c r="E12" s="20"/>
      <c r="F12" s="20"/>
      <c r="G12" s="20"/>
      <c r="H12" s="20"/>
      <c r="I12" s="20"/>
      <c r="J12" s="20"/>
      <c r="K12" s="20"/>
      <c r="L12" s="46"/>
      <c r="M12" s="28"/>
      <c r="N12" s="28"/>
      <c r="O12" s="28"/>
    </row>
    <row r="13" spans="1:15">
      <c r="A13" s="145">
        <v>8</v>
      </c>
      <c r="B13" s="20"/>
      <c r="C13" s="20"/>
      <c r="D13" s="20"/>
      <c r="E13" s="20"/>
      <c r="F13" s="20"/>
      <c r="G13" s="20"/>
      <c r="H13" s="20"/>
      <c r="I13" s="20"/>
      <c r="J13" s="20"/>
      <c r="K13" s="20"/>
      <c r="L13" s="46"/>
      <c r="M13" s="28"/>
      <c r="N13" s="28"/>
      <c r="O13" s="28"/>
    </row>
    <row r="14" spans="1:15">
      <c r="A14" s="145">
        <v>9</v>
      </c>
      <c r="B14" s="20"/>
      <c r="C14" s="20"/>
      <c r="D14" s="20"/>
      <c r="E14" s="20"/>
      <c r="F14" s="20"/>
      <c r="G14" s="20"/>
      <c r="H14" s="20"/>
      <c r="I14" s="20"/>
      <c r="J14" s="20"/>
      <c r="K14" s="20"/>
      <c r="L14" s="46"/>
      <c r="M14" s="28"/>
      <c r="N14" s="28"/>
      <c r="O14" s="28"/>
    </row>
    <row r="15" spans="1:15">
      <c r="A15" s="145">
        <v>10</v>
      </c>
      <c r="B15" s="20"/>
      <c r="C15" s="20"/>
      <c r="D15" s="20"/>
      <c r="E15" s="20"/>
      <c r="F15" s="20"/>
      <c r="G15" s="20"/>
      <c r="H15" s="20"/>
      <c r="I15" s="20"/>
      <c r="J15" s="20"/>
      <c r="K15" s="20"/>
      <c r="L15" s="46"/>
      <c r="M15" s="28"/>
      <c r="N15" s="28"/>
      <c r="O15" s="28"/>
    </row>
    <row r="16" spans="1:15">
      <c r="A16" s="145">
        <v>11</v>
      </c>
      <c r="B16" s="20"/>
      <c r="C16" s="20"/>
      <c r="D16" s="20"/>
      <c r="E16" s="20"/>
      <c r="F16" s="20"/>
      <c r="G16" s="20"/>
      <c r="H16" s="20"/>
      <c r="I16" s="20"/>
      <c r="J16" s="20"/>
      <c r="K16" s="20"/>
      <c r="L16" s="46"/>
      <c r="M16" s="28"/>
      <c r="N16" s="28"/>
      <c r="O16" s="28"/>
    </row>
    <row r="17" spans="1:15">
      <c r="A17" s="145">
        <v>12</v>
      </c>
      <c r="B17" s="20"/>
      <c r="C17" s="20"/>
      <c r="D17" s="20"/>
      <c r="E17" s="20"/>
      <c r="F17" s="20"/>
      <c r="G17" s="20"/>
      <c r="H17" s="20"/>
      <c r="I17" s="20"/>
      <c r="J17" s="20"/>
      <c r="K17" s="20"/>
      <c r="L17" s="46"/>
      <c r="M17" s="28"/>
      <c r="N17" s="28"/>
      <c r="O17" s="28"/>
    </row>
    <row r="18" spans="1:15">
      <c r="A18" s="145">
        <v>13</v>
      </c>
      <c r="B18" s="20"/>
      <c r="C18" s="20"/>
      <c r="D18" s="20"/>
      <c r="E18" s="20"/>
      <c r="F18" s="20"/>
      <c r="G18" s="20"/>
      <c r="H18" s="20"/>
      <c r="I18" s="20"/>
      <c r="J18" s="20"/>
      <c r="K18" s="20"/>
      <c r="L18" s="46"/>
      <c r="M18" s="28"/>
      <c r="N18" s="28"/>
      <c r="O18" s="28"/>
    </row>
    <row r="19" spans="1:15">
      <c r="A19" s="145">
        <v>14</v>
      </c>
      <c r="B19" s="20"/>
      <c r="C19" s="20"/>
      <c r="D19" s="20"/>
      <c r="E19" s="20"/>
      <c r="F19" s="20"/>
      <c r="G19" s="20"/>
      <c r="H19" s="20"/>
      <c r="I19" s="20"/>
      <c r="J19" s="20"/>
      <c r="K19" s="20"/>
      <c r="L19" s="46"/>
      <c r="M19" s="28"/>
      <c r="N19" s="28"/>
      <c r="O19" s="28"/>
    </row>
    <row r="20" spans="1:15">
      <c r="A20" s="145">
        <v>15</v>
      </c>
      <c r="B20" s="20"/>
      <c r="C20" s="20"/>
      <c r="D20" s="20"/>
      <c r="E20" s="20"/>
      <c r="F20" s="20"/>
      <c r="G20" s="20"/>
      <c r="H20" s="20"/>
      <c r="I20" s="20"/>
      <c r="J20" s="20"/>
      <c r="K20" s="20"/>
      <c r="L20" s="46"/>
      <c r="M20" s="28"/>
      <c r="N20" s="28"/>
      <c r="O20" s="28"/>
    </row>
    <row r="21" spans="1:15">
      <c r="A21" s="145">
        <v>16</v>
      </c>
      <c r="B21" s="20"/>
      <c r="C21" s="20"/>
      <c r="D21" s="20"/>
      <c r="E21" s="20"/>
      <c r="F21" s="20"/>
      <c r="G21" s="20"/>
      <c r="H21" s="20"/>
      <c r="I21" s="20"/>
      <c r="J21" s="20"/>
      <c r="K21" s="20"/>
      <c r="L21" s="46"/>
      <c r="M21" s="28"/>
      <c r="N21" s="28"/>
      <c r="O21" s="28"/>
    </row>
    <row r="22" spans="1:15">
      <c r="A22" s="145">
        <v>17</v>
      </c>
      <c r="B22" s="20"/>
      <c r="C22" s="20"/>
      <c r="D22" s="20"/>
      <c r="E22" s="20"/>
      <c r="F22" s="20"/>
      <c r="G22" s="20"/>
      <c r="H22" s="20"/>
      <c r="I22" s="20"/>
      <c r="J22" s="20"/>
      <c r="K22" s="20"/>
      <c r="L22" s="46"/>
      <c r="M22" s="28"/>
      <c r="N22" s="28"/>
      <c r="O22" s="28"/>
    </row>
    <row r="23" spans="1:15">
      <c r="A23" s="145">
        <v>18</v>
      </c>
      <c r="B23" s="20"/>
      <c r="C23" s="20"/>
      <c r="D23" s="20"/>
      <c r="E23" s="20"/>
      <c r="F23" s="20"/>
      <c r="G23" s="20"/>
      <c r="H23" s="20"/>
      <c r="I23" s="20"/>
      <c r="J23" s="20"/>
      <c r="K23" s="20"/>
      <c r="L23" s="46"/>
      <c r="M23" s="28"/>
      <c r="N23" s="28"/>
      <c r="O23" s="28"/>
    </row>
    <row r="24" spans="1:15">
      <c r="A24" s="145">
        <v>19</v>
      </c>
      <c r="B24" s="20"/>
      <c r="C24" s="20"/>
      <c r="D24" s="20"/>
      <c r="E24" s="20"/>
      <c r="F24" s="20"/>
      <c r="G24" s="20"/>
      <c r="H24" s="20"/>
      <c r="I24" s="20"/>
      <c r="J24" s="20"/>
      <c r="K24" s="20"/>
      <c r="L24" s="46"/>
      <c r="M24" s="28"/>
      <c r="N24" s="28"/>
      <c r="O24" s="28"/>
    </row>
    <row r="25" spans="1:15">
      <c r="A25" s="145">
        <v>20</v>
      </c>
      <c r="B25" s="20"/>
      <c r="C25" s="20"/>
      <c r="D25" s="20"/>
      <c r="E25" s="20"/>
      <c r="F25" s="20"/>
      <c r="G25" s="20"/>
      <c r="H25" s="20"/>
      <c r="I25" s="20"/>
      <c r="J25" s="20"/>
      <c r="K25" s="20"/>
      <c r="L25" s="46"/>
      <c r="M25" s="28"/>
      <c r="N25" s="28"/>
      <c r="O25" s="28"/>
    </row>
    <row r="26" spans="1:15">
      <c r="A26" s="145">
        <v>21</v>
      </c>
      <c r="B26" s="20"/>
      <c r="C26" s="20"/>
      <c r="D26" s="20"/>
      <c r="E26" s="20"/>
      <c r="F26" s="20"/>
      <c r="G26" s="20"/>
      <c r="H26" s="20"/>
      <c r="I26" s="20"/>
      <c r="J26" s="20"/>
      <c r="K26" s="20"/>
      <c r="L26" s="46"/>
      <c r="M26" s="28"/>
      <c r="N26" s="28"/>
      <c r="O26" s="28"/>
    </row>
    <row r="27" spans="1:15">
      <c r="A27" s="145">
        <v>22</v>
      </c>
      <c r="B27" s="20"/>
      <c r="C27" s="20"/>
      <c r="D27" s="20"/>
      <c r="E27" s="20"/>
      <c r="F27" s="20"/>
      <c r="G27" s="20"/>
      <c r="H27" s="20"/>
      <c r="I27" s="20"/>
      <c r="J27" s="20"/>
      <c r="K27" s="20"/>
      <c r="L27" s="46"/>
      <c r="M27" s="28"/>
      <c r="N27" s="28"/>
      <c r="O27" s="28"/>
    </row>
    <row r="28" spans="1:15">
      <c r="A28" s="145">
        <v>23</v>
      </c>
      <c r="B28" s="20"/>
      <c r="C28" s="20"/>
      <c r="D28" s="20"/>
      <c r="E28" s="20"/>
      <c r="F28" s="20"/>
      <c r="G28" s="20"/>
      <c r="H28" s="20"/>
      <c r="I28" s="20"/>
      <c r="J28" s="20"/>
      <c r="K28" s="20"/>
      <c r="L28" s="46"/>
      <c r="M28" s="28"/>
      <c r="N28" s="28"/>
      <c r="O28" s="28"/>
    </row>
    <row r="29" spans="1:15">
      <c r="A29" s="145">
        <v>24</v>
      </c>
      <c r="B29" s="20"/>
      <c r="C29" s="20"/>
      <c r="D29" s="20"/>
      <c r="E29" s="20"/>
      <c r="F29" s="20"/>
      <c r="G29" s="20"/>
      <c r="H29" s="20"/>
      <c r="I29" s="20"/>
      <c r="J29" s="20"/>
      <c r="K29" s="20"/>
      <c r="L29" s="46"/>
      <c r="M29" s="28"/>
      <c r="N29" s="28"/>
      <c r="O29" s="28"/>
    </row>
    <row r="30" spans="1:15">
      <c r="A30" s="145">
        <v>25</v>
      </c>
      <c r="B30" s="20"/>
      <c r="C30" s="20"/>
      <c r="D30" s="20"/>
      <c r="E30" s="20"/>
      <c r="F30" s="20"/>
      <c r="G30" s="20"/>
      <c r="H30" s="20"/>
      <c r="I30" s="20"/>
      <c r="J30" s="20"/>
      <c r="K30" s="20"/>
      <c r="L30" s="46"/>
      <c r="M30" s="28"/>
      <c r="N30" s="28"/>
      <c r="O30" s="28"/>
    </row>
    <row r="31" spans="1:15">
      <c r="A31" s="145">
        <v>26</v>
      </c>
      <c r="B31" s="20"/>
      <c r="C31" s="20"/>
      <c r="D31" s="20"/>
      <c r="E31" s="20"/>
      <c r="F31" s="20"/>
      <c r="G31" s="20"/>
      <c r="H31" s="20"/>
      <c r="I31" s="20"/>
      <c r="J31" s="20"/>
      <c r="K31" s="20"/>
      <c r="L31" s="46"/>
      <c r="M31" s="28"/>
      <c r="N31" s="28"/>
      <c r="O31" s="28"/>
    </row>
    <row r="32" spans="1:15">
      <c r="A32" s="145">
        <v>27</v>
      </c>
      <c r="B32" s="20"/>
      <c r="C32" s="20"/>
      <c r="D32" s="20"/>
      <c r="E32" s="20"/>
      <c r="F32" s="20"/>
      <c r="G32" s="20"/>
      <c r="H32" s="20"/>
      <c r="I32" s="20"/>
      <c r="J32" s="20"/>
      <c r="K32" s="20"/>
      <c r="L32" s="46"/>
      <c r="M32" s="28"/>
      <c r="N32" s="28"/>
      <c r="O32" s="28"/>
    </row>
    <row r="33" spans="1:15">
      <c r="A33" s="145">
        <v>28</v>
      </c>
      <c r="B33" s="20"/>
      <c r="C33" s="20"/>
      <c r="D33" s="20"/>
      <c r="E33" s="20"/>
      <c r="F33" s="20"/>
      <c r="G33" s="20"/>
      <c r="H33" s="20"/>
      <c r="I33" s="20"/>
      <c r="J33" s="20"/>
      <c r="K33" s="20"/>
      <c r="L33" s="46"/>
      <c r="M33" s="28"/>
      <c r="N33" s="28"/>
      <c r="O33" s="28"/>
    </row>
    <row r="34" spans="1:15">
      <c r="A34" s="145">
        <v>29</v>
      </c>
      <c r="B34" s="20"/>
      <c r="C34" s="20"/>
      <c r="D34" s="20"/>
      <c r="E34" s="20"/>
      <c r="F34" s="20"/>
      <c r="G34" s="20"/>
      <c r="H34" s="20"/>
      <c r="I34" s="20"/>
      <c r="J34" s="20"/>
      <c r="K34" s="20"/>
      <c r="L34" s="46"/>
      <c r="M34" s="28"/>
      <c r="N34" s="28"/>
      <c r="O34" s="28"/>
    </row>
    <row r="35" spans="1:15">
      <c r="A35" s="145">
        <v>30</v>
      </c>
      <c r="B35" s="20"/>
      <c r="C35" s="20"/>
      <c r="D35" s="20"/>
      <c r="E35" s="20"/>
      <c r="F35" s="20"/>
      <c r="G35" s="20"/>
      <c r="H35" s="20"/>
      <c r="I35" s="20"/>
      <c r="J35" s="20"/>
      <c r="K35" s="20"/>
      <c r="L35" s="46"/>
      <c r="M35" s="28"/>
      <c r="N35" s="28"/>
      <c r="O35" s="28"/>
    </row>
    <row r="36" spans="1:15">
      <c r="A36" s="145">
        <v>31</v>
      </c>
      <c r="B36" s="20"/>
      <c r="C36" s="20"/>
      <c r="D36" s="20"/>
      <c r="E36" s="20"/>
      <c r="F36" s="20"/>
      <c r="G36" s="20"/>
      <c r="H36" s="20"/>
      <c r="I36" s="20"/>
      <c r="J36" s="20"/>
      <c r="K36" s="20"/>
      <c r="L36" s="46"/>
      <c r="M36" s="28"/>
      <c r="N36" s="28"/>
      <c r="O36" s="28"/>
    </row>
    <row r="37" spans="1:15">
      <c r="A37" s="145">
        <v>32</v>
      </c>
      <c r="B37" s="20"/>
      <c r="C37" s="20"/>
      <c r="D37" s="20"/>
      <c r="E37" s="20"/>
      <c r="F37" s="20"/>
      <c r="G37" s="20"/>
      <c r="H37" s="20"/>
      <c r="I37" s="20"/>
      <c r="J37" s="20"/>
      <c r="K37" s="20"/>
      <c r="L37" s="46"/>
      <c r="M37" s="28"/>
      <c r="N37" s="28"/>
      <c r="O37" s="28"/>
    </row>
    <row r="38" spans="1:15">
      <c r="A38" s="145">
        <v>33</v>
      </c>
      <c r="B38" s="20"/>
      <c r="C38" s="20"/>
      <c r="D38" s="20"/>
      <c r="E38" s="20"/>
      <c r="F38" s="20"/>
      <c r="G38" s="20"/>
      <c r="H38" s="20"/>
      <c r="I38" s="20"/>
      <c r="J38" s="20"/>
      <c r="K38" s="20"/>
      <c r="L38" s="46"/>
      <c r="M38" s="28"/>
      <c r="N38" s="28"/>
      <c r="O38" s="28"/>
    </row>
    <row r="39" spans="1:15">
      <c r="A39" s="145">
        <v>34</v>
      </c>
      <c r="B39" s="20"/>
      <c r="C39" s="20"/>
      <c r="D39" s="20"/>
      <c r="E39" s="20"/>
      <c r="F39" s="20"/>
      <c r="G39" s="20"/>
      <c r="H39" s="20"/>
      <c r="I39" s="20"/>
      <c r="J39" s="20"/>
      <c r="K39" s="20"/>
      <c r="L39" s="46"/>
      <c r="M39" s="28"/>
      <c r="N39" s="28"/>
      <c r="O39" s="28"/>
    </row>
    <row r="40" spans="1:15">
      <c r="A40" s="145">
        <v>35</v>
      </c>
      <c r="B40" s="20"/>
      <c r="C40" s="20"/>
      <c r="D40" s="20"/>
      <c r="E40" s="20"/>
      <c r="F40" s="20"/>
      <c r="G40" s="20"/>
      <c r="H40" s="20"/>
      <c r="I40" s="20"/>
      <c r="J40" s="20"/>
      <c r="K40" s="20"/>
      <c r="L40" s="46"/>
      <c r="M40" s="28"/>
      <c r="N40" s="28"/>
      <c r="O40" s="28"/>
    </row>
    <row r="41" spans="1:15">
      <c r="A41" s="145">
        <v>36</v>
      </c>
      <c r="B41" s="20"/>
      <c r="C41" s="20"/>
      <c r="D41" s="20"/>
      <c r="E41" s="20"/>
      <c r="F41" s="20"/>
      <c r="G41" s="20"/>
      <c r="H41" s="20"/>
      <c r="I41" s="20"/>
      <c r="J41" s="20"/>
      <c r="K41" s="20"/>
      <c r="L41" s="46"/>
      <c r="M41" s="28"/>
      <c r="N41" s="28"/>
      <c r="O41" s="28"/>
    </row>
    <row r="42" spans="1:15">
      <c r="A42" s="145">
        <v>37</v>
      </c>
      <c r="B42" s="20"/>
      <c r="C42" s="20"/>
      <c r="D42" s="20"/>
      <c r="E42" s="20"/>
      <c r="F42" s="20"/>
      <c r="G42" s="20"/>
      <c r="H42" s="20"/>
      <c r="I42" s="20"/>
      <c r="J42" s="20"/>
      <c r="K42" s="20"/>
      <c r="L42" s="46"/>
      <c r="M42" s="28"/>
      <c r="N42" s="28"/>
      <c r="O42" s="28"/>
    </row>
    <row r="43" spans="1:15">
      <c r="A43" s="145">
        <v>38</v>
      </c>
      <c r="B43" s="20"/>
      <c r="C43" s="20"/>
      <c r="D43" s="20"/>
      <c r="E43" s="20"/>
      <c r="F43" s="20"/>
      <c r="G43" s="20"/>
      <c r="H43" s="20"/>
      <c r="I43" s="20"/>
      <c r="J43" s="20"/>
      <c r="K43" s="20"/>
      <c r="L43" s="46"/>
      <c r="M43" s="28"/>
      <c r="N43" s="28"/>
      <c r="O43" s="28"/>
    </row>
    <row r="44" spans="1:15">
      <c r="A44" s="145">
        <v>39</v>
      </c>
      <c r="B44" s="20"/>
      <c r="C44" s="20"/>
      <c r="D44" s="20"/>
      <c r="E44" s="20"/>
      <c r="F44" s="20"/>
      <c r="G44" s="20"/>
      <c r="H44" s="20"/>
      <c r="I44" s="20"/>
      <c r="J44" s="20"/>
      <c r="K44" s="20"/>
      <c r="L44" s="46"/>
      <c r="M44" s="28"/>
      <c r="N44" s="28"/>
      <c r="O44" s="28"/>
    </row>
    <row r="45" spans="1:15">
      <c r="A45" s="145">
        <v>40</v>
      </c>
      <c r="B45" s="20"/>
      <c r="C45" s="20"/>
      <c r="D45" s="20"/>
      <c r="E45" s="20"/>
      <c r="F45" s="20"/>
      <c r="G45" s="20"/>
      <c r="H45" s="20"/>
      <c r="I45" s="20"/>
      <c r="J45" s="20"/>
      <c r="K45" s="20"/>
      <c r="L45" s="46"/>
      <c r="M45" s="28"/>
      <c r="N45" s="28"/>
      <c r="O45" s="28"/>
    </row>
    <row r="46" spans="1:15">
      <c r="A46" s="145">
        <v>41</v>
      </c>
      <c r="B46" s="20"/>
      <c r="C46" s="20"/>
      <c r="D46" s="20"/>
      <c r="E46" s="20"/>
      <c r="F46" s="20"/>
      <c r="G46" s="20"/>
      <c r="H46" s="20"/>
      <c r="I46" s="20"/>
      <c r="J46" s="20"/>
      <c r="K46" s="20"/>
      <c r="L46" s="46"/>
      <c r="M46" s="28"/>
      <c r="N46" s="28"/>
      <c r="O46" s="28"/>
    </row>
    <row r="47" spans="1:15">
      <c r="A47" s="145">
        <v>42</v>
      </c>
      <c r="B47" s="20"/>
      <c r="C47" s="20"/>
      <c r="D47" s="20"/>
      <c r="E47" s="20"/>
      <c r="F47" s="20"/>
      <c r="G47" s="20"/>
      <c r="H47" s="20"/>
      <c r="I47" s="20"/>
      <c r="J47" s="20"/>
      <c r="K47" s="20"/>
      <c r="L47" s="46"/>
      <c r="M47" s="28"/>
      <c r="N47" s="28"/>
      <c r="O47" s="28"/>
    </row>
    <row r="48" spans="1:15">
      <c r="A48" s="145">
        <v>43</v>
      </c>
      <c r="B48" s="20"/>
      <c r="C48" s="20"/>
      <c r="D48" s="20"/>
      <c r="E48" s="20"/>
      <c r="F48" s="20"/>
      <c r="G48" s="20"/>
      <c r="H48" s="20"/>
      <c r="I48" s="20"/>
      <c r="J48" s="20"/>
      <c r="K48" s="20"/>
      <c r="L48" s="46"/>
      <c r="M48" s="28"/>
      <c r="N48" s="28"/>
      <c r="O48" s="28"/>
    </row>
    <row r="49" spans="1:15">
      <c r="A49" s="145">
        <v>44</v>
      </c>
      <c r="B49" s="20"/>
      <c r="C49" s="20"/>
      <c r="D49" s="20"/>
      <c r="E49" s="20"/>
      <c r="F49" s="20"/>
      <c r="G49" s="20"/>
      <c r="H49" s="20"/>
      <c r="I49" s="20"/>
      <c r="J49" s="20"/>
      <c r="K49" s="20"/>
      <c r="L49" s="46"/>
      <c r="M49" s="28"/>
      <c r="N49" s="28"/>
      <c r="O49" s="28"/>
    </row>
    <row r="50" spans="1:15">
      <c r="A50" s="145">
        <v>45</v>
      </c>
      <c r="B50" s="20"/>
      <c r="C50" s="20"/>
      <c r="D50" s="20"/>
      <c r="E50" s="20"/>
      <c r="F50" s="20"/>
      <c r="G50" s="20"/>
      <c r="H50" s="20"/>
      <c r="I50" s="20"/>
      <c r="J50" s="20"/>
      <c r="K50" s="20"/>
      <c r="L50" s="46"/>
      <c r="M50" s="28"/>
      <c r="N50" s="28"/>
      <c r="O50" s="28"/>
    </row>
    <row r="51" spans="1:15">
      <c r="A51" s="145">
        <v>46</v>
      </c>
      <c r="B51" s="20"/>
      <c r="C51" s="20"/>
      <c r="D51" s="20"/>
      <c r="E51" s="20"/>
      <c r="F51" s="20"/>
      <c r="G51" s="20"/>
      <c r="H51" s="20"/>
      <c r="I51" s="20"/>
      <c r="J51" s="20"/>
      <c r="K51" s="20"/>
      <c r="L51" s="46"/>
      <c r="M51" s="28"/>
      <c r="N51" s="28"/>
      <c r="O51" s="28"/>
    </row>
    <row r="52" spans="1:15">
      <c r="A52" s="145">
        <v>47</v>
      </c>
      <c r="B52" s="20"/>
      <c r="C52" s="20"/>
      <c r="D52" s="20"/>
      <c r="E52" s="20"/>
      <c r="F52" s="20"/>
      <c r="G52" s="20"/>
      <c r="H52" s="20"/>
      <c r="I52" s="20"/>
      <c r="J52" s="20"/>
      <c r="K52" s="20"/>
      <c r="L52" s="46"/>
      <c r="M52" s="28"/>
      <c r="N52" s="28"/>
      <c r="O52" s="28"/>
    </row>
    <row r="53" spans="1:15">
      <c r="A53" s="145">
        <v>48</v>
      </c>
      <c r="B53" s="20"/>
      <c r="C53" s="20"/>
      <c r="D53" s="20"/>
      <c r="E53" s="20"/>
      <c r="F53" s="20"/>
      <c r="G53" s="20"/>
      <c r="H53" s="20"/>
      <c r="I53" s="20"/>
      <c r="J53" s="20"/>
      <c r="K53" s="20"/>
      <c r="L53" s="46"/>
      <c r="M53" s="28"/>
      <c r="N53" s="28"/>
      <c r="O53" s="28"/>
    </row>
    <row r="54" spans="1:15">
      <c r="A54" s="145">
        <v>49</v>
      </c>
      <c r="B54" s="20"/>
      <c r="C54" s="20"/>
      <c r="D54" s="20"/>
      <c r="E54" s="20"/>
      <c r="F54" s="20"/>
      <c r="G54" s="20"/>
      <c r="H54" s="20"/>
      <c r="I54" s="20"/>
      <c r="J54" s="20"/>
      <c r="K54" s="20"/>
      <c r="L54" s="46"/>
      <c r="M54" s="28"/>
      <c r="N54" s="28"/>
      <c r="O54" s="28"/>
    </row>
    <row r="55" spans="1:15" ht="15" thickBot="1">
      <c r="A55" s="53">
        <v>50</v>
      </c>
      <c r="B55" s="95"/>
      <c r="C55" s="95"/>
      <c r="D55" s="95"/>
      <c r="E55" s="95"/>
      <c r="F55" s="95"/>
      <c r="G55" s="95"/>
      <c r="H55" s="95"/>
      <c r="I55" s="95"/>
      <c r="J55" s="95"/>
      <c r="K55" s="95"/>
      <c r="L55" s="49"/>
      <c r="M55" s="28"/>
      <c r="N55" s="28"/>
      <c r="O55" s="28"/>
    </row>
    <row r="56" spans="1:15">
      <c r="A56" s="28"/>
      <c r="B56" s="28"/>
      <c r="C56" s="28"/>
      <c r="D56" s="28"/>
      <c r="E56" s="28"/>
      <c r="F56" s="28"/>
      <c r="G56" s="28"/>
      <c r="H56" s="28"/>
      <c r="I56" s="28"/>
      <c r="J56" s="28"/>
      <c r="K56" s="28"/>
      <c r="L56" s="28"/>
      <c r="M56" s="28"/>
      <c r="N56" s="28"/>
      <c r="O56" s="28"/>
    </row>
    <row r="57" spans="1:15">
      <c r="A57" s="28"/>
      <c r="B57" s="28"/>
      <c r="C57" s="28"/>
      <c r="D57" s="28"/>
      <c r="E57" s="28"/>
      <c r="F57" s="28"/>
      <c r="G57" s="28"/>
      <c r="H57" s="28"/>
      <c r="I57" s="28"/>
      <c r="J57" s="28"/>
      <c r="K57" s="28"/>
      <c r="L57" s="28"/>
      <c r="M57" s="28"/>
      <c r="N57" s="28"/>
      <c r="O57" s="28"/>
    </row>
    <row r="58" spans="1:15">
      <c r="A58" s="28"/>
      <c r="B58" s="28"/>
      <c r="C58" s="28"/>
      <c r="D58" s="28"/>
      <c r="E58" s="28"/>
      <c r="F58" s="28"/>
      <c r="G58" s="28"/>
      <c r="H58" s="28"/>
      <c r="I58" s="28"/>
      <c r="J58" s="28"/>
      <c r="K58" s="28"/>
      <c r="L58" s="28"/>
      <c r="M58" s="28"/>
      <c r="N58" s="28"/>
      <c r="O58" s="28"/>
    </row>
    <row r="59" spans="1:15">
      <c r="A59" s="28"/>
      <c r="B59" s="28"/>
      <c r="C59" s="28"/>
      <c r="D59" s="28"/>
      <c r="E59" s="28"/>
      <c r="F59" s="28"/>
      <c r="G59" s="28"/>
      <c r="H59" s="28"/>
      <c r="I59" s="28"/>
      <c r="J59" s="28"/>
      <c r="K59" s="28"/>
      <c r="L59" s="28"/>
      <c r="M59" s="28"/>
      <c r="N59" s="28"/>
      <c r="O59" s="28"/>
    </row>
    <row r="60" spans="1:15">
      <c r="A60" s="28"/>
      <c r="B60" s="28"/>
      <c r="C60" s="28"/>
      <c r="D60" s="28"/>
      <c r="E60" s="28"/>
      <c r="F60" s="28"/>
      <c r="G60" s="28"/>
      <c r="H60" s="28"/>
      <c r="I60" s="28"/>
      <c r="J60" s="28"/>
      <c r="K60" s="28"/>
      <c r="L60" s="28"/>
    </row>
  </sheetData>
  <autoFilter ref="A5:K5" xr:uid="{00000000-0009-0000-0000-00001F000000}"/>
  <mergeCells count="1">
    <mergeCell ref="A3:G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24"/>
  <dimension ref="A1:R62"/>
  <sheetViews>
    <sheetView topLeftCell="E1" zoomScaleNormal="100" workbookViewId="0">
      <selection activeCell="N6" sqref="N6"/>
    </sheetView>
  </sheetViews>
  <sheetFormatPr baseColWidth="10" defaultRowHeight="14.5"/>
  <cols>
    <col min="1" max="1" width="7.453125" customWidth="1"/>
    <col min="2" max="12" width="18.7265625" customWidth="1"/>
    <col min="13" max="14" width="16.1796875" customWidth="1"/>
  </cols>
  <sheetData>
    <row r="1" spans="1:18" ht="15.5">
      <c r="A1" s="668" t="s">
        <v>248</v>
      </c>
      <c r="B1" s="668"/>
      <c r="C1" s="668"/>
      <c r="D1" s="668"/>
      <c r="E1" s="668"/>
      <c r="F1" s="668"/>
      <c r="G1" s="668"/>
      <c r="H1" s="668"/>
      <c r="I1" s="668"/>
      <c r="J1" s="668"/>
      <c r="K1" s="668"/>
      <c r="L1" s="668"/>
      <c r="M1" s="668"/>
      <c r="N1" s="28"/>
      <c r="O1" s="28"/>
      <c r="P1" s="28"/>
      <c r="Q1" s="28"/>
      <c r="R1" s="28"/>
    </row>
    <row r="2" spans="1:18" ht="15.5">
      <c r="A2" s="227"/>
      <c r="B2" s="227"/>
      <c r="C2" s="227"/>
      <c r="D2" s="227"/>
      <c r="E2" s="227"/>
      <c r="F2" s="227"/>
      <c r="G2" s="227"/>
      <c r="H2" s="227"/>
      <c r="I2" s="227"/>
      <c r="J2" s="227"/>
      <c r="K2" s="227"/>
      <c r="L2" s="227"/>
      <c r="M2" s="227"/>
      <c r="N2" s="28"/>
      <c r="O2" s="28"/>
      <c r="P2" s="28"/>
      <c r="Q2" s="28"/>
      <c r="R2" s="28"/>
    </row>
    <row r="3" spans="1:18" ht="46" customHeight="1">
      <c r="A3" s="573" t="s">
        <v>367</v>
      </c>
      <c r="B3" s="573"/>
      <c r="C3" s="573"/>
      <c r="D3" s="573"/>
      <c r="E3" s="573"/>
      <c r="F3" s="573"/>
      <c r="G3" s="573"/>
      <c r="H3" s="227"/>
      <c r="I3" s="227"/>
      <c r="J3" s="227"/>
      <c r="K3" s="227"/>
      <c r="L3" s="227"/>
      <c r="M3" s="227"/>
      <c r="N3" s="28"/>
      <c r="O3" s="28"/>
      <c r="P3" s="28"/>
      <c r="Q3" s="28"/>
      <c r="R3" s="28"/>
    </row>
    <row r="4" spans="1:18" ht="16" thickBot="1">
      <c r="A4" s="668"/>
      <c r="B4" s="668"/>
      <c r="C4" s="668"/>
      <c r="D4" s="668"/>
      <c r="E4" s="668"/>
      <c r="F4" s="668"/>
      <c r="G4" s="668"/>
      <c r="H4" s="668"/>
      <c r="I4" s="668"/>
      <c r="J4" s="668"/>
      <c r="K4" s="668"/>
      <c r="L4" s="668"/>
      <c r="M4" s="668"/>
      <c r="N4" s="28"/>
      <c r="O4" s="28"/>
      <c r="P4" s="28"/>
      <c r="Q4" s="28"/>
      <c r="R4" s="28"/>
    </row>
    <row r="5" spans="1:18" ht="16" thickBot="1">
      <c r="A5" s="669" t="s">
        <v>429</v>
      </c>
      <c r="B5" s="670"/>
      <c r="C5" s="670"/>
      <c r="D5" s="670"/>
      <c r="E5" s="670"/>
      <c r="F5" s="671"/>
      <c r="G5" s="672" t="s">
        <v>113</v>
      </c>
      <c r="H5" s="672"/>
      <c r="I5" s="672"/>
      <c r="J5" s="672"/>
      <c r="K5" s="673" t="s">
        <v>115</v>
      </c>
      <c r="L5" s="674"/>
      <c r="M5" s="675"/>
      <c r="N5" s="28"/>
      <c r="O5" s="28"/>
      <c r="P5" s="28"/>
      <c r="Q5" s="28"/>
    </row>
    <row r="6" spans="1:18" ht="101.5">
      <c r="A6" s="93" t="s">
        <v>29</v>
      </c>
      <c r="B6" s="4" t="s">
        <v>56</v>
      </c>
      <c r="C6" s="4" t="s">
        <v>57</v>
      </c>
      <c r="D6" s="4" t="s">
        <v>58</v>
      </c>
      <c r="E6" s="4" t="s">
        <v>59</v>
      </c>
      <c r="F6" s="4" t="s">
        <v>60</v>
      </c>
      <c r="G6" s="1" t="s">
        <v>114</v>
      </c>
      <c r="H6" s="1" t="s">
        <v>53</v>
      </c>
      <c r="I6" s="1" t="s">
        <v>54</v>
      </c>
      <c r="J6" s="1" t="s">
        <v>368</v>
      </c>
      <c r="K6" s="2" t="s">
        <v>116</v>
      </c>
      <c r="L6" s="2" t="s">
        <v>117</v>
      </c>
      <c r="M6" s="2" t="s">
        <v>118</v>
      </c>
      <c r="N6" s="210" t="s">
        <v>0</v>
      </c>
      <c r="O6" s="28"/>
      <c r="P6" s="28"/>
      <c r="Q6" s="28"/>
    </row>
    <row r="7" spans="1:18">
      <c r="A7" s="52">
        <v>1</v>
      </c>
      <c r="B7" s="16"/>
      <c r="C7" s="16"/>
      <c r="D7" s="16"/>
      <c r="E7" s="16"/>
      <c r="F7" s="16"/>
      <c r="G7" s="16"/>
      <c r="H7" s="16"/>
      <c r="I7" s="16"/>
      <c r="J7" s="16"/>
      <c r="K7" s="16"/>
      <c r="L7" s="16"/>
      <c r="M7" s="16"/>
      <c r="N7" s="46"/>
      <c r="O7" s="28"/>
      <c r="P7" s="28"/>
      <c r="Q7" s="28"/>
    </row>
    <row r="8" spans="1:18">
      <c r="A8" s="52">
        <v>2</v>
      </c>
      <c r="B8" s="16"/>
      <c r="C8" s="16"/>
      <c r="D8" s="16"/>
      <c r="E8" s="16"/>
      <c r="F8" s="16"/>
      <c r="G8" s="16"/>
      <c r="H8" s="16"/>
      <c r="I8" s="16"/>
      <c r="J8" s="16"/>
      <c r="K8" s="16"/>
      <c r="L8" s="16"/>
      <c r="M8" s="16"/>
      <c r="N8" s="46"/>
      <c r="O8" s="28"/>
      <c r="P8" s="28"/>
      <c r="Q8" s="28"/>
    </row>
    <row r="9" spans="1:18">
      <c r="A9" s="52">
        <v>3</v>
      </c>
      <c r="B9" s="16"/>
      <c r="C9" s="16"/>
      <c r="D9" s="16"/>
      <c r="E9" s="16"/>
      <c r="F9" s="16"/>
      <c r="G9" s="16"/>
      <c r="H9" s="16"/>
      <c r="I9" s="16"/>
      <c r="J9" s="16"/>
      <c r="K9" s="16"/>
      <c r="L9" s="16"/>
      <c r="M9" s="16"/>
      <c r="N9" s="46"/>
      <c r="O9" s="28"/>
      <c r="P9" s="28"/>
      <c r="Q9" s="28"/>
    </row>
    <row r="10" spans="1:18">
      <c r="A10" s="52">
        <v>4</v>
      </c>
      <c r="B10" s="16"/>
      <c r="C10" s="16"/>
      <c r="D10" s="16"/>
      <c r="E10" s="16"/>
      <c r="F10" s="16"/>
      <c r="G10" s="16"/>
      <c r="H10" s="16"/>
      <c r="I10" s="16"/>
      <c r="J10" s="16"/>
      <c r="K10" s="16"/>
      <c r="L10" s="16"/>
      <c r="M10" s="16"/>
      <c r="N10" s="46"/>
      <c r="O10" s="28"/>
      <c r="P10" s="28"/>
      <c r="Q10" s="28"/>
    </row>
    <row r="11" spans="1:18">
      <c r="A11" s="52">
        <v>5</v>
      </c>
      <c r="B11" s="16"/>
      <c r="C11" s="16"/>
      <c r="D11" s="16"/>
      <c r="E11" s="16"/>
      <c r="F11" s="16"/>
      <c r="G11" s="16"/>
      <c r="H11" s="16"/>
      <c r="I11" s="16"/>
      <c r="J11" s="16"/>
      <c r="K11" s="16"/>
      <c r="L11" s="16"/>
      <c r="M11" s="16"/>
      <c r="N11" s="46"/>
      <c r="O11" s="28"/>
      <c r="P11" s="28"/>
      <c r="Q11" s="28"/>
    </row>
    <row r="12" spans="1:18">
      <c r="A12" s="52">
        <v>6</v>
      </c>
      <c r="B12" s="16"/>
      <c r="C12" s="16"/>
      <c r="D12" s="16"/>
      <c r="E12" s="16"/>
      <c r="F12" s="16"/>
      <c r="G12" s="16"/>
      <c r="H12" s="16"/>
      <c r="I12" s="16"/>
      <c r="J12" s="16"/>
      <c r="K12" s="16"/>
      <c r="L12" s="16"/>
      <c r="M12" s="16"/>
      <c r="N12" s="46"/>
      <c r="O12" s="28"/>
      <c r="P12" s="28"/>
      <c r="Q12" s="28"/>
    </row>
    <row r="13" spans="1:18">
      <c r="A13" s="52">
        <v>7</v>
      </c>
      <c r="B13" s="16"/>
      <c r="C13" s="16"/>
      <c r="D13" s="16"/>
      <c r="E13" s="16"/>
      <c r="F13" s="16"/>
      <c r="G13" s="16"/>
      <c r="H13" s="16"/>
      <c r="I13" s="16"/>
      <c r="J13" s="16"/>
      <c r="K13" s="16"/>
      <c r="L13" s="16"/>
      <c r="M13" s="16"/>
      <c r="N13" s="46"/>
      <c r="O13" s="28"/>
      <c r="P13" s="28"/>
      <c r="Q13" s="28"/>
    </row>
    <row r="14" spans="1:18">
      <c r="A14" s="52">
        <v>8</v>
      </c>
      <c r="B14" s="16"/>
      <c r="C14" s="16"/>
      <c r="D14" s="16"/>
      <c r="E14" s="16"/>
      <c r="F14" s="16"/>
      <c r="G14" s="16"/>
      <c r="H14" s="16"/>
      <c r="I14" s="16"/>
      <c r="J14" s="16"/>
      <c r="K14" s="16"/>
      <c r="L14" s="16"/>
      <c r="M14" s="16"/>
      <c r="N14" s="46"/>
      <c r="O14" s="28"/>
      <c r="P14" s="28"/>
      <c r="Q14" s="28"/>
    </row>
    <row r="15" spans="1:18">
      <c r="A15" s="52">
        <v>9</v>
      </c>
      <c r="B15" s="16"/>
      <c r="C15" s="16"/>
      <c r="D15" s="16"/>
      <c r="E15" s="16"/>
      <c r="F15" s="16"/>
      <c r="G15" s="16"/>
      <c r="H15" s="16"/>
      <c r="I15" s="16"/>
      <c r="J15" s="16"/>
      <c r="K15" s="16"/>
      <c r="L15" s="16"/>
      <c r="M15" s="16"/>
      <c r="N15" s="46"/>
      <c r="O15" s="28"/>
      <c r="P15" s="28"/>
      <c r="Q15" s="28"/>
    </row>
    <row r="16" spans="1:18">
      <c r="A16" s="52">
        <v>10</v>
      </c>
      <c r="B16" s="16"/>
      <c r="C16" s="16"/>
      <c r="D16" s="16"/>
      <c r="E16" s="16"/>
      <c r="F16" s="16"/>
      <c r="G16" s="16"/>
      <c r="H16" s="16"/>
      <c r="I16" s="16"/>
      <c r="J16" s="16"/>
      <c r="K16" s="16"/>
      <c r="L16" s="16"/>
      <c r="M16" s="16"/>
      <c r="N16" s="46"/>
      <c r="O16" s="28"/>
      <c r="P16" s="28"/>
      <c r="Q16" s="28"/>
    </row>
    <row r="17" spans="1:17">
      <c r="A17" s="52">
        <v>11</v>
      </c>
      <c r="B17" s="16"/>
      <c r="C17" s="16"/>
      <c r="D17" s="16"/>
      <c r="E17" s="16"/>
      <c r="F17" s="16"/>
      <c r="G17" s="16"/>
      <c r="H17" s="16"/>
      <c r="I17" s="16"/>
      <c r="J17" s="16"/>
      <c r="K17" s="16"/>
      <c r="L17" s="16"/>
      <c r="M17" s="16"/>
      <c r="N17" s="46"/>
      <c r="O17" s="28"/>
      <c r="P17" s="28"/>
      <c r="Q17" s="28"/>
    </row>
    <row r="18" spans="1:17">
      <c r="A18" s="52">
        <v>12</v>
      </c>
      <c r="B18" s="16"/>
      <c r="C18" s="16"/>
      <c r="D18" s="16"/>
      <c r="E18" s="16"/>
      <c r="F18" s="16"/>
      <c r="G18" s="16"/>
      <c r="H18" s="16"/>
      <c r="I18" s="16"/>
      <c r="J18" s="16"/>
      <c r="K18" s="16"/>
      <c r="L18" s="16"/>
      <c r="M18" s="16"/>
      <c r="N18" s="46"/>
      <c r="O18" s="28"/>
      <c r="P18" s="28"/>
      <c r="Q18" s="28"/>
    </row>
    <row r="19" spans="1:17">
      <c r="A19" s="52">
        <v>13</v>
      </c>
      <c r="B19" s="16"/>
      <c r="C19" s="16"/>
      <c r="D19" s="16"/>
      <c r="E19" s="16"/>
      <c r="F19" s="16"/>
      <c r="G19" s="16"/>
      <c r="H19" s="16"/>
      <c r="I19" s="16"/>
      <c r="J19" s="16"/>
      <c r="K19" s="16"/>
      <c r="L19" s="16"/>
      <c r="M19" s="16"/>
      <c r="N19" s="46"/>
      <c r="O19" s="28"/>
      <c r="P19" s="28"/>
      <c r="Q19" s="28"/>
    </row>
    <row r="20" spans="1:17">
      <c r="A20" s="52">
        <v>14</v>
      </c>
      <c r="B20" s="16"/>
      <c r="C20" s="16"/>
      <c r="D20" s="16"/>
      <c r="E20" s="16"/>
      <c r="F20" s="16"/>
      <c r="G20" s="16"/>
      <c r="H20" s="16"/>
      <c r="I20" s="16"/>
      <c r="J20" s="16"/>
      <c r="K20" s="16"/>
      <c r="L20" s="16"/>
      <c r="M20" s="16"/>
      <c r="N20" s="46"/>
      <c r="O20" s="28"/>
      <c r="P20" s="28"/>
      <c r="Q20" s="28"/>
    </row>
    <row r="21" spans="1:17">
      <c r="A21" s="52">
        <v>15</v>
      </c>
      <c r="B21" s="16"/>
      <c r="C21" s="16"/>
      <c r="D21" s="16"/>
      <c r="E21" s="16"/>
      <c r="F21" s="16"/>
      <c r="G21" s="16"/>
      <c r="H21" s="16"/>
      <c r="I21" s="16"/>
      <c r="J21" s="16"/>
      <c r="K21" s="16"/>
      <c r="L21" s="16"/>
      <c r="M21" s="16"/>
      <c r="N21" s="46"/>
      <c r="O21" s="28"/>
      <c r="P21" s="28"/>
      <c r="Q21" s="28"/>
    </row>
    <row r="22" spans="1:17">
      <c r="A22" s="52">
        <v>16</v>
      </c>
      <c r="B22" s="16"/>
      <c r="C22" s="16"/>
      <c r="D22" s="16"/>
      <c r="E22" s="16"/>
      <c r="F22" s="16"/>
      <c r="G22" s="16"/>
      <c r="H22" s="16"/>
      <c r="I22" s="16"/>
      <c r="J22" s="16"/>
      <c r="K22" s="16"/>
      <c r="L22" s="16"/>
      <c r="M22" s="16"/>
      <c r="N22" s="46"/>
      <c r="O22" s="28"/>
      <c r="P22" s="28"/>
      <c r="Q22" s="28"/>
    </row>
    <row r="23" spans="1:17">
      <c r="A23" s="52">
        <v>17</v>
      </c>
      <c r="B23" s="16"/>
      <c r="C23" s="16"/>
      <c r="D23" s="16"/>
      <c r="E23" s="16"/>
      <c r="F23" s="16"/>
      <c r="G23" s="16"/>
      <c r="H23" s="16"/>
      <c r="I23" s="16"/>
      <c r="J23" s="16"/>
      <c r="K23" s="16"/>
      <c r="L23" s="16"/>
      <c r="M23" s="16"/>
      <c r="N23" s="46"/>
      <c r="O23" s="28"/>
      <c r="P23" s="28"/>
      <c r="Q23" s="28"/>
    </row>
    <row r="24" spans="1:17">
      <c r="A24" s="52">
        <v>18</v>
      </c>
      <c r="B24" s="16"/>
      <c r="C24" s="16"/>
      <c r="D24" s="16"/>
      <c r="E24" s="16"/>
      <c r="F24" s="16"/>
      <c r="G24" s="16"/>
      <c r="H24" s="16"/>
      <c r="I24" s="16"/>
      <c r="J24" s="16"/>
      <c r="K24" s="16"/>
      <c r="L24" s="16"/>
      <c r="M24" s="16"/>
      <c r="N24" s="46"/>
      <c r="O24" s="28"/>
      <c r="P24" s="28"/>
      <c r="Q24" s="28"/>
    </row>
    <row r="25" spans="1:17">
      <c r="A25" s="52">
        <v>19</v>
      </c>
      <c r="B25" s="16"/>
      <c r="C25" s="16"/>
      <c r="D25" s="16"/>
      <c r="E25" s="16"/>
      <c r="F25" s="16"/>
      <c r="G25" s="16"/>
      <c r="H25" s="16"/>
      <c r="I25" s="16"/>
      <c r="J25" s="16"/>
      <c r="K25" s="16"/>
      <c r="L25" s="16"/>
      <c r="M25" s="16"/>
      <c r="N25" s="46"/>
      <c r="O25" s="28"/>
      <c r="P25" s="28"/>
      <c r="Q25" s="28"/>
    </row>
    <row r="26" spans="1:17">
      <c r="A26" s="52">
        <v>20</v>
      </c>
      <c r="B26" s="16"/>
      <c r="C26" s="16"/>
      <c r="D26" s="16"/>
      <c r="E26" s="16"/>
      <c r="F26" s="16"/>
      <c r="G26" s="16"/>
      <c r="H26" s="16"/>
      <c r="I26" s="16"/>
      <c r="J26" s="16"/>
      <c r="K26" s="16"/>
      <c r="L26" s="16"/>
      <c r="M26" s="16"/>
      <c r="N26" s="46"/>
      <c r="O26" s="28"/>
      <c r="P26" s="28"/>
      <c r="Q26" s="28"/>
    </row>
    <row r="27" spans="1:17">
      <c r="A27" s="52">
        <v>21</v>
      </c>
      <c r="B27" s="16"/>
      <c r="C27" s="16"/>
      <c r="D27" s="16"/>
      <c r="E27" s="16"/>
      <c r="F27" s="16"/>
      <c r="G27" s="16"/>
      <c r="H27" s="16"/>
      <c r="I27" s="16"/>
      <c r="J27" s="16"/>
      <c r="K27" s="16"/>
      <c r="L27" s="16"/>
      <c r="M27" s="16"/>
      <c r="N27" s="46"/>
      <c r="O27" s="28"/>
      <c r="P27" s="28"/>
      <c r="Q27" s="28"/>
    </row>
    <row r="28" spans="1:17">
      <c r="A28" s="52">
        <v>22</v>
      </c>
      <c r="B28" s="16"/>
      <c r="C28" s="16"/>
      <c r="D28" s="16"/>
      <c r="E28" s="16"/>
      <c r="F28" s="16"/>
      <c r="G28" s="16"/>
      <c r="H28" s="16"/>
      <c r="I28" s="16"/>
      <c r="J28" s="16"/>
      <c r="K28" s="16"/>
      <c r="L28" s="16"/>
      <c r="M28" s="16"/>
      <c r="N28" s="46"/>
      <c r="O28" s="28"/>
      <c r="P28" s="28"/>
      <c r="Q28" s="28"/>
    </row>
    <row r="29" spans="1:17">
      <c r="A29" s="52">
        <v>23</v>
      </c>
      <c r="B29" s="16"/>
      <c r="C29" s="16"/>
      <c r="D29" s="16"/>
      <c r="E29" s="16"/>
      <c r="F29" s="16"/>
      <c r="G29" s="16"/>
      <c r="H29" s="16"/>
      <c r="I29" s="16"/>
      <c r="J29" s="16"/>
      <c r="K29" s="16"/>
      <c r="L29" s="16"/>
      <c r="M29" s="16"/>
      <c r="N29" s="46"/>
      <c r="O29" s="28"/>
      <c r="P29" s="28"/>
      <c r="Q29" s="28"/>
    </row>
    <row r="30" spans="1:17">
      <c r="A30" s="52">
        <v>24</v>
      </c>
      <c r="B30" s="16"/>
      <c r="C30" s="16"/>
      <c r="D30" s="16"/>
      <c r="E30" s="16"/>
      <c r="F30" s="16"/>
      <c r="G30" s="16"/>
      <c r="H30" s="16"/>
      <c r="I30" s="16"/>
      <c r="J30" s="16"/>
      <c r="K30" s="16"/>
      <c r="L30" s="16"/>
      <c r="M30" s="16"/>
      <c r="N30" s="46"/>
      <c r="O30" s="28"/>
      <c r="P30" s="28"/>
      <c r="Q30" s="28"/>
    </row>
    <row r="31" spans="1:17">
      <c r="A31" s="52">
        <v>25</v>
      </c>
      <c r="B31" s="16"/>
      <c r="C31" s="16"/>
      <c r="D31" s="16"/>
      <c r="E31" s="16"/>
      <c r="F31" s="16"/>
      <c r="G31" s="16"/>
      <c r="H31" s="16"/>
      <c r="I31" s="16"/>
      <c r="J31" s="16"/>
      <c r="K31" s="16"/>
      <c r="L31" s="16"/>
      <c r="M31" s="16"/>
      <c r="N31" s="46"/>
      <c r="O31" s="28"/>
      <c r="P31" s="28"/>
      <c r="Q31" s="28"/>
    </row>
    <row r="32" spans="1:17">
      <c r="A32" s="52">
        <v>26</v>
      </c>
      <c r="B32" s="16"/>
      <c r="C32" s="16"/>
      <c r="D32" s="16"/>
      <c r="E32" s="16"/>
      <c r="F32" s="16"/>
      <c r="G32" s="16"/>
      <c r="H32" s="16"/>
      <c r="I32" s="16"/>
      <c r="J32" s="16"/>
      <c r="K32" s="16"/>
      <c r="L32" s="16"/>
      <c r="M32" s="16"/>
      <c r="N32" s="46"/>
      <c r="O32" s="28"/>
      <c r="P32" s="28"/>
      <c r="Q32" s="28"/>
    </row>
    <row r="33" spans="1:17">
      <c r="A33" s="52">
        <v>27</v>
      </c>
      <c r="B33" s="16"/>
      <c r="C33" s="16"/>
      <c r="D33" s="16"/>
      <c r="E33" s="16"/>
      <c r="F33" s="16"/>
      <c r="G33" s="16"/>
      <c r="H33" s="16"/>
      <c r="I33" s="16"/>
      <c r="J33" s="16"/>
      <c r="K33" s="16"/>
      <c r="L33" s="16"/>
      <c r="M33" s="16"/>
      <c r="N33" s="46"/>
      <c r="O33" s="28"/>
      <c r="P33" s="28"/>
      <c r="Q33" s="28"/>
    </row>
    <row r="34" spans="1:17">
      <c r="A34" s="52">
        <v>28</v>
      </c>
      <c r="B34" s="16"/>
      <c r="C34" s="16"/>
      <c r="D34" s="16"/>
      <c r="E34" s="16"/>
      <c r="F34" s="16"/>
      <c r="G34" s="16"/>
      <c r="H34" s="16"/>
      <c r="I34" s="16"/>
      <c r="J34" s="16"/>
      <c r="K34" s="16"/>
      <c r="L34" s="16"/>
      <c r="M34" s="16"/>
      <c r="N34" s="46"/>
      <c r="O34" s="28"/>
      <c r="P34" s="28"/>
      <c r="Q34" s="28"/>
    </row>
    <row r="35" spans="1:17">
      <c r="A35" s="52">
        <v>29</v>
      </c>
      <c r="B35" s="16"/>
      <c r="C35" s="16"/>
      <c r="D35" s="16"/>
      <c r="E35" s="16"/>
      <c r="F35" s="16"/>
      <c r="G35" s="16"/>
      <c r="H35" s="16"/>
      <c r="I35" s="16"/>
      <c r="J35" s="16"/>
      <c r="K35" s="16"/>
      <c r="L35" s="16"/>
      <c r="M35" s="16"/>
      <c r="N35" s="46"/>
      <c r="O35" s="28"/>
      <c r="P35" s="28"/>
      <c r="Q35" s="28"/>
    </row>
    <row r="36" spans="1:17">
      <c r="A36" s="52">
        <v>30</v>
      </c>
      <c r="B36" s="16"/>
      <c r="C36" s="16"/>
      <c r="D36" s="16"/>
      <c r="E36" s="16"/>
      <c r="F36" s="16"/>
      <c r="G36" s="16"/>
      <c r="H36" s="16"/>
      <c r="I36" s="16"/>
      <c r="J36" s="16"/>
      <c r="K36" s="16"/>
      <c r="L36" s="16"/>
      <c r="M36" s="16"/>
      <c r="N36" s="46"/>
      <c r="O36" s="28"/>
      <c r="P36" s="28"/>
      <c r="Q36" s="28"/>
    </row>
    <row r="37" spans="1:17">
      <c r="A37" s="52">
        <v>31</v>
      </c>
      <c r="B37" s="16"/>
      <c r="C37" s="16"/>
      <c r="D37" s="16"/>
      <c r="E37" s="16"/>
      <c r="F37" s="16"/>
      <c r="G37" s="16"/>
      <c r="H37" s="16"/>
      <c r="I37" s="16"/>
      <c r="J37" s="16"/>
      <c r="K37" s="16"/>
      <c r="L37" s="16"/>
      <c r="M37" s="16"/>
      <c r="N37" s="46"/>
      <c r="O37" s="28"/>
      <c r="P37" s="28"/>
      <c r="Q37" s="28"/>
    </row>
    <row r="38" spans="1:17">
      <c r="A38" s="52">
        <v>32</v>
      </c>
      <c r="B38" s="16"/>
      <c r="C38" s="16"/>
      <c r="D38" s="16"/>
      <c r="E38" s="16"/>
      <c r="F38" s="16"/>
      <c r="G38" s="16"/>
      <c r="H38" s="16"/>
      <c r="I38" s="16"/>
      <c r="J38" s="16"/>
      <c r="K38" s="16"/>
      <c r="L38" s="16"/>
      <c r="M38" s="16"/>
      <c r="N38" s="46"/>
      <c r="O38" s="28"/>
      <c r="P38" s="28"/>
      <c r="Q38" s="28"/>
    </row>
    <row r="39" spans="1:17">
      <c r="A39" s="52">
        <v>33</v>
      </c>
      <c r="B39" s="16"/>
      <c r="C39" s="16"/>
      <c r="D39" s="16"/>
      <c r="E39" s="16"/>
      <c r="F39" s="16"/>
      <c r="G39" s="16"/>
      <c r="H39" s="16"/>
      <c r="I39" s="16"/>
      <c r="J39" s="16"/>
      <c r="K39" s="16"/>
      <c r="L39" s="16"/>
      <c r="M39" s="16"/>
      <c r="N39" s="46"/>
      <c r="O39" s="28"/>
      <c r="P39" s="28"/>
      <c r="Q39" s="28"/>
    </row>
    <row r="40" spans="1:17">
      <c r="A40" s="52">
        <v>34</v>
      </c>
      <c r="B40" s="16"/>
      <c r="C40" s="16"/>
      <c r="D40" s="16"/>
      <c r="E40" s="16"/>
      <c r="F40" s="16"/>
      <c r="G40" s="16"/>
      <c r="H40" s="16"/>
      <c r="I40" s="16"/>
      <c r="J40" s="16"/>
      <c r="K40" s="16"/>
      <c r="L40" s="16"/>
      <c r="M40" s="16"/>
      <c r="N40" s="46"/>
      <c r="O40" s="28"/>
      <c r="P40" s="28"/>
      <c r="Q40" s="28"/>
    </row>
    <row r="41" spans="1:17">
      <c r="A41" s="52">
        <v>35</v>
      </c>
      <c r="B41" s="16"/>
      <c r="C41" s="16"/>
      <c r="D41" s="16"/>
      <c r="E41" s="16"/>
      <c r="F41" s="16"/>
      <c r="G41" s="16"/>
      <c r="H41" s="16"/>
      <c r="I41" s="16"/>
      <c r="J41" s="16"/>
      <c r="K41" s="16"/>
      <c r="L41" s="16"/>
      <c r="M41" s="16"/>
      <c r="N41" s="46"/>
      <c r="O41" s="28"/>
      <c r="P41" s="28"/>
      <c r="Q41" s="28"/>
    </row>
    <row r="42" spans="1:17">
      <c r="A42" s="52">
        <v>36</v>
      </c>
      <c r="B42" s="16"/>
      <c r="C42" s="16"/>
      <c r="D42" s="16"/>
      <c r="E42" s="16"/>
      <c r="F42" s="16"/>
      <c r="G42" s="16"/>
      <c r="H42" s="16"/>
      <c r="I42" s="16"/>
      <c r="J42" s="16"/>
      <c r="K42" s="16"/>
      <c r="L42" s="16"/>
      <c r="M42" s="16"/>
      <c r="N42" s="46"/>
      <c r="O42" s="28"/>
      <c r="P42" s="28"/>
      <c r="Q42" s="28"/>
    </row>
    <row r="43" spans="1:17">
      <c r="A43" s="52">
        <v>37</v>
      </c>
      <c r="B43" s="16"/>
      <c r="C43" s="16"/>
      <c r="D43" s="16"/>
      <c r="E43" s="16"/>
      <c r="F43" s="16"/>
      <c r="G43" s="16"/>
      <c r="H43" s="16"/>
      <c r="I43" s="16"/>
      <c r="J43" s="16"/>
      <c r="K43" s="16"/>
      <c r="L43" s="16"/>
      <c r="M43" s="16"/>
      <c r="N43" s="46"/>
      <c r="O43" s="28"/>
      <c r="P43" s="28"/>
      <c r="Q43" s="28"/>
    </row>
    <row r="44" spans="1:17">
      <c r="A44" s="52">
        <v>38</v>
      </c>
      <c r="B44" s="16"/>
      <c r="C44" s="16"/>
      <c r="D44" s="16"/>
      <c r="E44" s="16"/>
      <c r="F44" s="16"/>
      <c r="G44" s="16"/>
      <c r="H44" s="16"/>
      <c r="I44" s="16"/>
      <c r="J44" s="16"/>
      <c r="K44" s="16"/>
      <c r="L44" s="16"/>
      <c r="M44" s="16"/>
      <c r="N44" s="46"/>
      <c r="O44" s="28"/>
      <c r="P44" s="28"/>
      <c r="Q44" s="28"/>
    </row>
    <row r="45" spans="1:17">
      <c r="A45" s="52">
        <v>39</v>
      </c>
      <c r="B45" s="16"/>
      <c r="C45" s="16"/>
      <c r="D45" s="16"/>
      <c r="E45" s="16"/>
      <c r="F45" s="16"/>
      <c r="G45" s="16"/>
      <c r="H45" s="16"/>
      <c r="I45" s="16"/>
      <c r="J45" s="16"/>
      <c r="K45" s="16"/>
      <c r="L45" s="16"/>
      <c r="M45" s="16"/>
      <c r="N45" s="46"/>
      <c r="O45" s="28"/>
      <c r="P45" s="28"/>
      <c r="Q45" s="28"/>
    </row>
    <row r="46" spans="1:17">
      <c r="A46" s="52">
        <v>40</v>
      </c>
      <c r="B46" s="16"/>
      <c r="C46" s="16"/>
      <c r="D46" s="16"/>
      <c r="E46" s="16"/>
      <c r="F46" s="16"/>
      <c r="G46" s="16"/>
      <c r="H46" s="16"/>
      <c r="I46" s="16"/>
      <c r="J46" s="16"/>
      <c r="K46" s="16"/>
      <c r="L46" s="16"/>
      <c r="M46" s="16"/>
      <c r="N46" s="46"/>
      <c r="O46" s="28"/>
      <c r="P46" s="28"/>
      <c r="Q46" s="28"/>
    </row>
    <row r="47" spans="1:17">
      <c r="A47" s="52">
        <v>41</v>
      </c>
      <c r="B47" s="16"/>
      <c r="C47" s="16"/>
      <c r="D47" s="16"/>
      <c r="E47" s="16"/>
      <c r="F47" s="16"/>
      <c r="G47" s="16"/>
      <c r="H47" s="16"/>
      <c r="I47" s="16"/>
      <c r="J47" s="16"/>
      <c r="K47" s="16"/>
      <c r="L47" s="16"/>
      <c r="M47" s="16"/>
      <c r="N47" s="46"/>
      <c r="O47" s="28"/>
      <c r="P47" s="28"/>
      <c r="Q47" s="28"/>
    </row>
    <row r="48" spans="1:17">
      <c r="A48" s="52">
        <v>42</v>
      </c>
      <c r="B48" s="16"/>
      <c r="C48" s="16"/>
      <c r="D48" s="16"/>
      <c r="E48" s="16"/>
      <c r="F48" s="16"/>
      <c r="G48" s="16"/>
      <c r="H48" s="16"/>
      <c r="I48" s="16"/>
      <c r="J48" s="16"/>
      <c r="K48" s="16"/>
      <c r="L48" s="16"/>
      <c r="M48" s="16"/>
      <c r="N48" s="46"/>
      <c r="O48" s="28"/>
      <c r="P48" s="28"/>
      <c r="Q48" s="28"/>
    </row>
    <row r="49" spans="1:17">
      <c r="A49" s="52">
        <v>43</v>
      </c>
      <c r="B49" s="16"/>
      <c r="C49" s="16"/>
      <c r="D49" s="16"/>
      <c r="E49" s="16"/>
      <c r="F49" s="16"/>
      <c r="G49" s="16"/>
      <c r="H49" s="16"/>
      <c r="I49" s="16"/>
      <c r="J49" s="16"/>
      <c r="K49" s="16"/>
      <c r="L49" s="16"/>
      <c r="M49" s="16"/>
      <c r="N49" s="46"/>
      <c r="O49" s="28"/>
      <c r="P49" s="28"/>
      <c r="Q49" s="28"/>
    </row>
    <row r="50" spans="1:17">
      <c r="A50" s="52">
        <v>44</v>
      </c>
      <c r="B50" s="16"/>
      <c r="C50" s="16"/>
      <c r="D50" s="16"/>
      <c r="E50" s="16"/>
      <c r="F50" s="16"/>
      <c r="G50" s="16"/>
      <c r="H50" s="16"/>
      <c r="I50" s="16"/>
      <c r="J50" s="16"/>
      <c r="K50" s="16"/>
      <c r="L50" s="16"/>
      <c r="M50" s="16"/>
      <c r="N50" s="46"/>
      <c r="O50" s="28"/>
      <c r="P50" s="28"/>
      <c r="Q50" s="28"/>
    </row>
    <row r="51" spans="1:17">
      <c r="A51" s="52">
        <v>45</v>
      </c>
      <c r="B51" s="16"/>
      <c r="C51" s="16"/>
      <c r="D51" s="16"/>
      <c r="E51" s="16"/>
      <c r="F51" s="16"/>
      <c r="G51" s="16"/>
      <c r="H51" s="16"/>
      <c r="I51" s="16"/>
      <c r="J51" s="16"/>
      <c r="K51" s="16"/>
      <c r="L51" s="16"/>
      <c r="M51" s="16"/>
      <c r="N51" s="46"/>
      <c r="O51" s="28"/>
      <c r="P51" s="28"/>
      <c r="Q51" s="28"/>
    </row>
    <row r="52" spans="1:17">
      <c r="A52" s="52">
        <v>46</v>
      </c>
      <c r="B52" s="16"/>
      <c r="C52" s="16"/>
      <c r="D52" s="16"/>
      <c r="E52" s="16"/>
      <c r="F52" s="16"/>
      <c r="G52" s="16"/>
      <c r="H52" s="16"/>
      <c r="I52" s="16"/>
      <c r="J52" s="16"/>
      <c r="K52" s="16"/>
      <c r="L52" s="16"/>
      <c r="M52" s="16"/>
      <c r="N52" s="46"/>
      <c r="O52" s="28"/>
      <c r="P52" s="28"/>
      <c r="Q52" s="28"/>
    </row>
    <row r="53" spans="1:17">
      <c r="A53" s="52">
        <v>47</v>
      </c>
      <c r="B53" s="16"/>
      <c r="C53" s="16"/>
      <c r="D53" s="16"/>
      <c r="E53" s="16"/>
      <c r="F53" s="16"/>
      <c r="G53" s="16"/>
      <c r="H53" s="16"/>
      <c r="I53" s="16"/>
      <c r="J53" s="16"/>
      <c r="K53" s="16"/>
      <c r="L53" s="16"/>
      <c r="M53" s="16"/>
      <c r="N53" s="46"/>
      <c r="O53" s="28"/>
      <c r="P53" s="28"/>
      <c r="Q53" s="28"/>
    </row>
    <row r="54" spans="1:17">
      <c r="A54" s="52">
        <v>48</v>
      </c>
      <c r="B54" s="16"/>
      <c r="C54" s="16"/>
      <c r="D54" s="16"/>
      <c r="E54" s="16"/>
      <c r="F54" s="16"/>
      <c r="G54" s="16"/>
      <c r="H54" s="16"/>
      <c r="I54" s="16"/>
      <c r="J54" s="16"/>
      <c r="K54" s="16"/>
      <c r="L54" s="16"/>
      <c r="M54" s="16"/>
      <c r="N54" s="46"/>
      <c r="O54" s="28"/>
      <c r="P54" s="28"/>
      <c r="Q54" s="28"/>
    </row>
    <row r="55" spans="1:17">
      <c r="A55" s="52">
        <v>49</v>
      </c>
      <c r="B55" s="16"/>
      <c r="C55" s="16"/>
      <c r="D55" s="16"/>
      <c r="E55" s="16"/>
      <c r="F55" s="16"/>
      <c r="G55" s="16"/>
      <c r="H55" s="16"/>
      <c r="I55" s="16"/>
      <c r="J55" s="16"/>
      <c r="K55" s="16"/>
      <c r="L55" s="16"/>
      <c r="M55" s="16"/>
      <c r="N55" s="46"/>
      <c r="O55" s="28"/>
      <c r="P55" s="28"/>
      <c r="Q55" s="28"/>
    </row>
    <row r="56" spans="1:17" ht="15" thickBot="1">
      <c r="A56" s="53">
        <v>50</v>
      </c>
      <c r="B56" s="48"/>
      <c r="C56" s="48"/>
      <c r="D56" s="48"/>
      <c r="E56" s="48"/>
      <c r="F56" s="48"/>
      <c r="G56" s="48"/>
      <c r="H56" s="48"/>
      <c r="I56" s="48"/>
      <c r="J56" s="48"/>
      <c r="K56" s="48"/>
      <c r="L56" s="48"/>
      <c r="M56" s="48"/>
      <c r="N56" s="49"/>
      <c r="O56" s="28"/>
      <c r="P56" s="28"/>
      <c r="Q56" s="28"/>
    </row>
    <row r="57" spans="1:17">
      <c r="A57" s="28"/>
      <c r="B57" s="28"/>
      <c r="C57" s="28"/>
      <c r="D57" s="28"/>
      <c r="E57" s="28"/>
      <c r="F57" s="28"/>
      <c r="G57" s="28"/>
      <c r="H57" s="28"/>
      <c r="I57" s="28"/>
      <c r="J57" s="28"/>
      <c r="K57" s="28"/>
      <c r="L57" s="28"/>
      <c r="M57" s="28"/>
      <c r="N57" s="28"/>
      <c r="O57" s="28"/>
      <c r="P57" s="28"/>
      <c r="Q57" s="28"/>
    </row>
    <row r="58" spans="1:17">
      <c r="A58" s="28"/>
      <c r="B58" s="28"/>
      <c r="C58" s="28"/>
      <c r="D58" s="28"/>
      <c r="E58" s="28"/>
      <c r="F58" s="28"/>
      <c r="G58" s="28"/>
      <c r="H58" s="28"/>
      <c r="I58" s="28"/>
      <c r="J58" s="28"/>
      <c r="K58" s="28"/>
      <c r="L58" s="28"/>
      <c r="M58" s="28"/>
      <c r="N58" s="28"/>
      <c r="O58" s="28"/>
      <c r="P58" s="28"/>
      <c r="Q58" s="28"/>
    </row>
    <row r="59" spans="1:17">
      <c r="A59" s="28"/>
      <c r="B59" s="28"/>
      <c r="C59" s="28"/>
      <c r="D59" s="28"/>
      <c r="E59" s="28"/>
      <c r="F59" s="28"/>
      <c r="G59" s="28"/>
      <c r="H59" s="28"/>
      <c r="I59" s="28"/>
      <c r="J59" s="28"/>
      <c r="K59" s="28"/>
      <c r="L59" s="28"/>
      <c r="M59" s="28"/>
      <c r="N59" s="28"/>
      <c r="O59" s="28"/>
      <c r="P59" s="28"/>
      <c r="Q59" s="28"/>
    </row>
    <row r="60" spans="1:17">
      <c r="A60" s="28"/>
      <c r="B60" s="28"/>
      <c r="C60" s="28"/>
      <c r="D60" s="28"/>
      <c r="E60" s="28"/>
      <c r="F60" s="28"/>
      <c r="G60" s="28"/>
      <c r="H60" s="28"/>
      <c r="I60" s="28"/>
      <c r="J60" s="28"/>
      <c r="K60" s="28"/>
      <c r="L60" s="28"/>
      <c r="M60" s="28"/>
      <c r="N60" s="28"/>
      <c r="O60" s="28"/>
      <c r="P60" s="28"/>
      <c r="Q60" s="28"/>
    </row>
    <row r="61" spans="1:17">
      <c r="A61" s="28"/>
      <c r="B61" s="28"/>
      <c r="C61" s="28"/>
      <c r="D61" s="28"/>
      <c r="E61" s="28"/>
      <c r="F61" s="28"/>
      <c r="G61" s="28"/>
      <c r="H61" s="28"/>
      <c r="I61" s="28"/>
      <c r="J61" s="28"/>
      <c r="K61" s="28"/>
      <c r="L61" s="28"/>
      <c r="M61" s="28"/>
      <c r="N61" s="28"/>
      <c r="O61" s="28"/>
      <c r="P61" s="28"/>
      <c r="Q61" s="28"/>
    </row>
    <row r="62" spans="1:17">
      <c r="A62" s="28"/>
      <c r="B62" s="28"/>
      <c r="C62" s="28"/>
      <c r="D62" s="28"/>
      <c r="E62" s="28"/>
      <c r="F62" s="28"/>
      <c r="G62" s="28"/>
      <c r="H62" s="28"/>
      <c r="I62" s="28"/>
      <c r="J62" s="28"/>
      <c r="K62" s="28"/>
      <c r="L62" s="28"/>
      <c r="M62" s="28"/>
      <c r="N62" s="28"/>
    </row>
  </sheetData>
  <autoFilter ref="A6:N6" xr:uid="{00000000-0009-0000-0000-000020000000}"/>
  <mergeCells count="6">
    <mergeCell ref="A1:M1"/>
    <mergeCell ref="A3:G3"/>
    <mergeCell ref="A5:F5"/>
    <mergeCell ref="G5:J5"/>
    <mergeCell ref="K5:M5"/>
    <mergeCell ref="A4:M4"/>
  </mergeCells>
  <dataValidations count="1">
    <dataValidation type="custom" allowBlank="1" showInputMessage="1" showErrorMessage="1" sqref="C7" xr:uid="{00000000-0002-0000-2000-000000000000}">
      <formula1>"Nacional;Internacional"</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25"/>
  <dimension ref="A1:V64"/>
  <sheetViews>
    <sheetView zoomScaleNormal="100" workbookViewId="0">
      <selection activeCell="P7" sqref="P7"/>
    </sheetView>
  </sheetViews>
  <sheetFormatPr baseColWidth="10" defaultRowHeight="14.5"/>
  <cols>
    <col min="1" max="1" width="6.81640625" customWidth="1"/>
    <col min="2" max="3" width="17.1796875" customWidth="1"/>
    <col min="4" max="4" width="36.1796875" customWidth="1"/>
    <col min="5" max="5" width="17.1796875" customWidth="1"/>
    <col min="6" max="6" width="10.1796875" customWidth="1"/>
    <col min="7" max="14" width="17.1796875" customWidth="1"/>
    <col min="15" max="15" width="21.453125" customWidth="1"/>
    <col min="16" max="16" width="18.54296875" customWidth="1"/>
    <col min="17" max="17" width="14.26953125" customWidth="1"/>
    <col min="18" max="18" width="24" customWidth="1"/>
  </cols>
  <sheetData>
    <row r="1" spans="1:22" ht="15.5">
      <c r="A1" s="98" t="s">
        <v>249</v>
      </c>
      <c r="B1" s="98"/>
      <c r="C1" s="98"/>
      <c r="D1" s="98"/>
      <c r="E1" s="98"/>
      <c r="F1" s="28"/>
      <c r="G1" s="28"/>
      <c r="H1" s="28"/>
      <c r="I1" s="28"/>
      <c r="J1" s="28"/>
      <c r="K1" s="28"/>
      <c r="L1" s="28"/>
      <c r="M1" s="28"/>
      <c r="N1" s="28"/>
      <c r="O1" s="28"/>
      <c r="P1" s="28"/>
      <c r="Q1" s="28"/>
      <c r="R1" s="28"/>
      <c r="S1" s="28"/>
      <c r="T1" s="28"/>
      <c r="U1" s="28"/>
      <c r="V1" s="28"/>
    </row>
    <row r="2" spans="1:22" ht="15.5">
      <c r="A2" s="98"/>
      <c r="B2" s="98"/>
      <c r="C2" s="98"/>
      <c r="D2" s="98"/>
      <c r="E2" s="98"/>
      <c r="F2" s="28"/>
      <c r="G2" s="28"/>
      <c r="H2" s="28"/>
      <c r="I2" s="28"/>
      <c r="J2" s="28"/>
      <c r="K2" s="28"/>
      <c r="L2" s="28"/>
      <c r="M2" s="28"/>
      <c r="N2" s="28"/>
      <c r="O2" s="28"/>
      <c r="P2" s="28"/>
      <c r="Q2" s="28"/>
      <c r="R2" s="28"/>
      <c r="S2" s="28"/>
      <c r="T2" s="28"/>
      <c r="U2" s="28"/>
      <c r="V2" s="28"/>
    </row>
    <row r="3" spans="1:22" ht="15.5">
      <c r="A3" s="224" t="s">
        <v>507</v>
      </c>
      <c r="B3" s="224"/>
      <c r="C3" s="224"/>
      <c r="D3" s="224"/>
      <c r="E3" s="224"/>
      <c r="F3" s="225"/>
      <c r="G3" s="225"/>
      <c r="H3" s="28"/>
      <c r="I3" s="28"/>
      <c r="J3" s="28"/>
      <c r="K3" s="28"/>
      <c r="L3" s="28"/>
      <c r="M3" s="28"/>
      <c r="N3" s="28"/>
      <c r="O3" s="28"/>
      <c r="P3" s="28"/>
      <c r="Q3" s="28"/>
      <c r="R3" s="28"/>
      <c r="S3" s="28"/>
      <c r="T3" s="28"/>
      <c r="U3" s="28"/>
      <c r="V3" s="28"/>
    </row>
    <row r="4" spans="1:22" ht="48" customHeight="1">
      <c r="A4" s="655" t="s">
        <v>369</v>
      </c>
      <c r="B4" s="655"/>
      <c r="C4" s="655"/>
      <c r="D4" s="655"/>
      <c r="E4" s="655"/>
      <c r="F4" s="655"/>
      <c r="G4" s="655"/>
      <c r="H4" s="28"/>
      <c r="I4" s="28"/>
      <c r="J4" s="28"/>
      <c r="K4" s="28"/>
      <c r="L4" s="28"/>
      <c r="M4" s="28"/>
      <c r="N4" s="28"/>
      <c r="O4" s="28"/>
      <c r="P4" s="28"/>
      <c r="Q4" s="28"/>
      <c r="R4" s="28"/>
      <c r="S4" s="28"/>
      <c r="T4" s="28"/>
      <c r="U4" s="28"/>
      <c r="V4" s="28"/>
    </row>
    <row r="5" spans="1:22" ht="19.5" customHeight="1">
      <c r="A5" s="98"/>
      <c r="B5" s="98"/>
      <c r="C5" s="98"/>
      <c r="D5" s="98"/>
      <c r="E5" s="98"/>
      <c r="F5" s="28"/>
      <c r="G5" s="28"/>
      <c r="H5" s="28"/>
      <c r="I5" s="28"/>
      <c r="J5" s="28"/>
      <c r="K5" s="28"/>
      <c r="L5" s="28"/>
      <c r="M5" s="28"/>
      <c r="N5" s="28"/>
      <c r="O5" s="28"/>
      <c r="P5" s="28"/>
      <c r="Q5" s="28"/>
      <c r="R5" s="28"/>
      <c r="S5" s="28"/>
      <c r="T5" s="28"/>
      <c r="U5" s="28"/>
      <c r="V5" s="28"/>
    </row>
    <row r="6" spans="1:22" ht="38.15" customHeight="1">
      <c r="A6" s="98"/>
      <c r="B6" s="679" t="s">
        <v>253</v>
      </c>
      <c r="C6" s="679"/>
      <c r="D6" s="679"/>
      <c r="E6" s="679"/>
      <c r="F6" s="679"/>
      <c r="G6" s="678" t="s">
        <v>508</v>
      </c>
      <c r="H6" s="678"/>
      <c r="I6" s="676" t="s">
        <v>251</v>
      </c>
      <c r="J6" s="676"/>
      <c r="K6" s="676"/>
      <c r="L6" s="677" t="s">
        <v>252</v>
      </c>
      <c r="M6" s="677"/>
      <c r="N6" s="677"/>
      <c r="O6" s="641" t="s">
        <v>430</v>
      </c>
      <c r="P6" s="641"/>
      <c r="Q6" s="641"/>
      <c r="R6" s="28"/>
      <c r="S6" s="28"/>
      <c r="T6" s="28"/>
      <c r="U6" s="28"/>
      <c r="V6" s="28"/>
    </row>
    <row r="7" spans="1:22" ht="57" customHeight="1">
      <c r="A7" s="255" t="s">
        <v>29</v>
      </c>
      <c r="B7" s="176" t="s">
        <v>168</v>
      </c>
      <c r="C7" s="176" t="s">
        <v>256</v>
      </c>
      <c r="D7" s="176" t="s">
        <v>377</v>
      </c>
      <c r="E7" s="176" t="s">
        <v>48</v>
      </c>
      <c r="F7" s="176" t="s">
        <v>257</v>
      </c>
      <c r="G7" s="176" t="s">
        <v>254</v>
      </c>
      <c r="H7" s="176" t="s">
        <v>255</v>
      </c>
      <c r="I7" s="192" t="s">
        <v>370</v>
      </c>
      <c r="J7" s="192" t="s">
        <v>371</v>
      </c>
      <c r="K7" s="192" t="s">
        <v>376</v>
      </c>
      <c r="L7" s="189" t="s">
        <v>374</v>
      </c>
      <c r="M7" s="189" t="s">
        <v>375</v>
      </c>
      <c r="N7" s="189" t="s">
        <v>49</v>
      </c>
      <c r="O7" s="256" t="s">
        <v>372</v>
      </c>
      <c r="P7" s="256" t="s">
        <v>373</v>
      </c>
      <c r="Q7" s="175" t="s">
        <v>250</v>
      </c>
      <c r="R7" s="257" t="s">
        <v>121</v>
      </c>
      <c r="S7" s="28"/>
      <c r="T7" s="28"/>
      <c r="U7" s="28"/>
      <c r="V7" s="28"/>
    </row>
    <row r="8" spans="1:22">
      <c r="A8" s="52">
        <v>1</v>
      </c>
      <c r="B8" s="16"/>
      <c r="C8" s="16"/>
      <c r="D8" s="16"/>
      <c r="E8" s="16"/>
      <c r="F8" s="22"/>
      <c r="G8" s="22"/>
      <c r="H8" s="16"/>
      <c r="I8" s="16"/>
      <c r="J8" s="16"/>
      <c r="K8" s="16"/>
      <c r="L8" s="16"/>
      <c r="M8" s="16"/>
      <c r="N8" s="16"/>
      <c r="O8" s="20"/>
      <c r="P8" s="20"/>
      <c r="Q8" s="96">
        <f>O8+P8</f>
        <v>0</v>
      </c>
      <c r="R8" s="46"/>
      <c r="S8" s="28"/>
      <c r="T8" s="28"/>
      <c r="U8" s="28"/>
      <c r="V8" s="28"/>
    </row>
    <row r="9" spans="1:22">
      <c r="A9" s="52">
        <v>2</v>
      </c>
      <c r="B9" s="16"/>
      <c r="C9" s="16"/>
      <c r="D9" s="16"/>
      <c r="E9" s="16"/>
      <c r="F9" s="22"/>
      <c r="G9" s="22"/>
      <c r="H9" s="16"/>
      <c r="I9" s="16"/>
      <c r="J9" s="16"/>
      <c r="K9" s="16"/>
      <c r="L9" s="16"/>
      <c r="M9" s="16"/>
      <c r="N9" s="16"/>
      <c r="O9" s="20"/>
      <c r="P9" s="20"/>
      <c r="Q9" s="96">
        <f t="shared" ref="Q9:Q57" si="0">O9+P9</f>
        <v>0</v>
      </c>
      <c r="R9" s="46"/>
      <c r="S9" s="28"/>
      <c r="T9" s="28"/>
      <c r="U9" s="28"/>
      <c r="V9" s="28"/>
    </row>
    <row r="10" spans="1:22">
      <c r="A10" s="52">
        <v>3</v>
      </c>
      <c r="B10" s="16"/>
      <c r="C10" s="16"/>
      <c r="D10" s="16"/>
      <c r="E10" s="16"/>
      <c r="F10" s="22"/>
      <c r="G10" s="22"/>
      <c r="H10" s="16"/>
      <c r="I10" s="16"/>
      <c r="J10" s="16"/>
      <c r="K10" s="16"/>
      <c r="L10" s="16"/>
      <c r="M10" s="16"/>
      <c r="N10" s="16"/>
      <c r="O10" s="20"/>
      <c r="P10" s="20"/>
      <c r="Q10" s="96">
        <f t="shared" si="0"/>
        <v>0</v>
      </c>
      <c r="R10" s="46"/>
      <c r="S10" s="28"/>
      <c r="T10" s="28"/>
      <c r="U10" s="28"/>
      <c r="V10" s="28"/>
    </row>
    <row r="11" spans="1:22">
      <c r="A11" s="52">
        <v>4</v>
      </c>
      <c r="B11" s="16"/>
      <c r="C11" s="16"/>
      <c r="D11" s="16"/>
      <c r="E11" s="16"/>
      <c r="F11" s="22"/>
      <c r="G11" s="22"/>
      <c r="H11" s="16"/>
      <c r="I11" s="16"/>
      <c r="J11" s="16"/>
      <c r="K11" s="16"/>
      <c r="L11" s="16"/>
      <c r="M11" s="16"/>
      <c r="N11" s="16"/>
      <c r="O11" s="20"/>
      <c r="P11" s="20"/>
      <c r="Q11" s="96">
        <f t="shared" si="0"/>
        <v>0</v>
      </c>
      <c r="R11" s="46"/>
      <c r="S11" s="28"/>
      <c r="T11" s="28"/>
      <c r="U11" s="28"/>
      <c r="V11" s="28"/>
    </row>
    <row r="12" spans="1:22">
      <c r="A12" s="52">
        <v>5</v>
      </c>
      <c r="B12" s="16"/>
      <c r="C12" s="16"/>
      <c r="D12" s="16"/>
      <c r="E12" s="16"/>
      <c r="F12" s="22"/>
      <c r="G12" s="22"/>
      <c r="H12" s="16"/>
      <c r="I12" s="16"/>
      <c r="J12" s="16"/>
      <c r="K12" s="16"/>
      <c r="L12" s="16"/>
      <c r="M12" s="16"/>
      <c r="N12" s="16"/>
      <c r="O12" s="20"/>
      <c r="P12" s="20"/>
      <c r="Q12" s="96">
        <f t="shared" si="0"/>
        <v>0</v>
      </c>
      <c r="R12" s="46"/>
      <c r="S12" s="28"/>
      <c r="T12" s="28"/>
      <c r="U12" s="28"/>
      <c r="V12" s="28"/>
    </row>
    <row r="13" spans="1:22">
      <c r="A13" s="52">
        <v>6</v>
      </c>
      <c r="B13" s="16"/>
      <c r="C13" s="16"/>
      <c r="D13" s="16"/>
      <c r="E13" s="16"/>
      <c r="F13" s="22"/>
      <c r="G13" s="22"/>
      <c r="H13" s="16"/>
      <c r="I13" s="16"/>
      <c r="J13" s="16"/>
      <c r="K13" s="16"/>
      <c r="L13" s="16"/>
      <c r="M13" s="16"/>
      <c r="N13" s="16"/>
      <c r="O13" s="20"/>
      <c r="P13" s="20"/>
      <c r="Q13" s="96">
        <f t="shared" si="0"/>
        <v>0</v>
      </c>
      <c r="R13" s="46"/>
      <c r="S13" s="28"/>
      <c r="T13" s="28"/>
      <c r="U13" s="28"/>
      <c r="V13" s="28"/>
    </row>
    <row r="14" spans="1:22">
      <c r="A14" s="52">
        <v>7</v>
      </c>
      <c r="B14" s="16"/>
      <c r="C14" s="16"/>
      <c r="D14" s="16"/>
      <c r="E14" s="16"/>
      <c r="F14" s="22"/>
      <c r="G14" s="22"/>
      <c r="H14" s="16"/>
      <c r="I14" s="16"/>
      <c r="J14" s="16"/>
      <c r="K14" s="16"/>
      <c r="L14" s="16"/>
      <c r="M14" s="16"/>
      <c r="N14" s="16"/>
      <c r="O14" s="20"/>
      <c r="P14" s="20"/>
      <c r="Q14" s="96">
        <f t="shared" si="0"/>
        <v>0</v>
      </c>
      <c r="R14" s="46"/>
      <c r="S14" s="28"/>
      <c r="T14" s="28"/>
      <c r="U14" s="28"/>
      <c r="V14" s="28"/>
    </row>
    <row r="15" spans="1:22">
      <c r="A15" s="52">
        <v>8</v>
      </c>
      <c r="B15" s="16"/>
      <c r="C15" s="16"/>
      <c r="D15" s="16"/>
      <c r="E15" s="16"/>
      <c r="F15" s="22"/>
      <c r="G15" s="22"/>
      <c r="H15" s="16"/>
      <c r="I15" s="16"/>
      <c r="J15" s="16"/>
      <c r="K15" s="16"/>
      <c r="L15" s="16"/>
      <c r="M15" s="16"/>
      <c r="N15" s="16"/>
      <c r="O15" s="20"/>
      <c r="P15" s="20"/>
      <c r="Q15" s="96">
        <f t="shared" si="0"/>
        <v>0</v>
      </c>
      <c r="R15" s="46"/>
      <c r="S15" s="28"/>
      <c r="T15" s="28"/>
      <c r="U15" s="28"/>
      <c r="V15" s="28"/>
    </row>
    <row r="16" spans="1:22">
      <c r="A16" s="52">
        <v>9</v>
      </c>
      <c r="B16" s="16"/>
      <c r="C16" s="16"/>
      <c r="D16" s="16"/>
      <c r="E16" s="16"/>
      <c r="F16" s="22"/>
      <c r="G16" s="22"/>
      <c r="H16" s="16"/>
      <c r="I16" s="16"/>
      <c r="J16" s="16"/>
      <c r="K16" s="16"/>
      <c r="L16" s="16"/>
      <c r="M16" s="16"/>
      <c r="N16" s="16"/>
      <c r="O16" s="20"/>
      <c r="P16" s="20"/>
      <c r="Q16" s="96">
        <f t="shared" si="0"/>
        <v>0</v>
      </c>
      <c r="R16" s="46"/>
      <c r="S16" s="28"/>
      <c r="T16" s="28"/>
      <c r="U16" s="28"/>
      <c r="V16" s="28"/>
    </row>
    <row r="17" spans="1:22">
      <c r="A17" s="52">
        <v>10</v>
      </c>
      <c r="B17" s="16"/>
      <c r="C17" s="16"/>
      <c r="D17" s="16"/>
      <c r="E17" s="16"/>
      <c r="F17" s="22"/>
      <c r="G17" s="22"/>
      <c r="H17" s="16"/>
      <c r="I17" s="16"/>
      <c r="J17" s="16"/>
      <c r="K17" s="16"/>
      <c r="L17" s="16"/>
      <c r="M17" s="16"/>
      <c r="N17" s="16"/>
      <c r="O17" s="20"/>
      <c r="P17" s="20"/>
      <c r="Q17" s="96">
        <f t="shared" si="0"/>
        <v>0</v>
      </c>
      <c r="R17" s="46"/>
      <c r="S17" s="28"/>
      <c r="T17" s="28"/>
      <c r="U17" s="28"/>
      <c r="V17" s="28"/>
    </row>
    <row r="18" spans="1:22">
      <c r="A18" s="52">
        <v>11</v>
      </c>
      <c r="B18" s="16"/>
      <c r="C18" s="16"/>
      <c r="D18" s="16"/>
      <c r="E18" s="16"/>
      <c r="F18" s="22"/>
      <c r="G18" s="22"/>
      <c r="H18" s="16"/>
      <c r="I18" s="16"/>
      <c r="J18" s="16"/>
      <c r="K18" s="16"/>
      <c r="L18" s="16"/>
      <c r="M18" s="16"/>
      <c r="N18" s="16"/>
      <c r="O18" s="20"/>
      <c r="P18" s="20"/>
      <c r="Q18" s="96">
        <f t="shared" si="0"/>
        <v>0</v>
      </c>
      <c r="R18" s="46"/>
      <c r="S18" s="28"/>
      <c r="T18" s="28"/>
      <c r="U18" s="28"/>
      <c r="V18" s="28"/>
    </row>
    <row r="19" spans="1:22">
      <c r="A19" s="52">
        <v>12</v>
      </c>
      <c r="B19" s="16"/>
      <c r="C19" s="16"/>
      <c r="D19" s="16"/>
      <c r="E19" s="16"/>
      <c r="F19" s="22"/>
      <c r="G19" s="22"/>
      <c r="H19" s="16"/>
      <c r="I19" s="16"/>
      <c r="J19" s="16"/>
      <c r="K19" s="16"/>
      <c r="L19" s="16"/>
      <c r="M19" s="16"/>
      <c r="N19" s="16"/>
      <c r="O19" s="20"/>
      <c r="P19" s="20"/>
      <c r="Q19" s="96">
        <f t="shared" si="0"/>
        <v>0</v>
      </c>
      <c r="R19" s="46"/>
      <c r="S19" s="28"/>
      <c r="T19" s="28"/>
      <c r="U19" s="28"/>
      <c r="V19" s="28"/>
    </row>
    <row r="20" spans="1:22">
      <c r="A20" s="52">
        <v>13</v>
      </c>
      <c r="B20" s="16"/>
      <c r="C20" s="16"/>
      <c r="D20" s="16"/>
      <c r="E20" s="16"/>
      <c r="F20" s="22"/>
      <c r="G20" s="22"/>
      <c r="H20" s="16"/>
      <c r="I20" s="16"/>
      <c r="J20" s="16"/>
      <c r="K20" s="16"/>
      <c r="L20" s="16"/>
      <c r="M20" s="16"/>
      <c r="N20" s="16"/>
      <c r="O20" s="20"/>
      <c r="P20" s="20"/>
      <c r="Q20" s="96">
        <f t="shared" si="0"/>
        <v>0</v>
      </c>
      <c r="R20" s="46"/>
      <c r="S20" s="28"/>
      <c r="T20" s="28"/>
      <c r="U20" s="28"/>
      <c r="V20" s="28"/>
    </row>
    <row r="21" spans="1:22">
      <c r="A21" s="52">
        <v>14</v>
      </c>
      <c r="B21" s="16"/>
      <c r="C21" s="16"/>
      <c r="D21" s="16"/>
      <c r="E21" s="16"/>
      <c r="F21" s="22"/>
      <c r="G21" s="22"/>
      <c r="H21" s="16"/>
      <c r="I21" s="16"/>
      <c r="J21" s="16"/>
      <c r="K21" s="16"/>
      <c r="L21" s="16"/>
      <c r="M21" s="16"/>
      <c r="N21" s="16"/>
      <c r="O21" s="20"/>
      <c r="P21" s="20"/>
      <c r="Q21" s="96">
        <f t="shared" si="0"/>
        <v>0</v>
      </c>
      <c r="R21" s="46"/>
      <c r="S21" s="28"/>
      <c r="T21" s="28"/>
      <c r="U21" s="28"/>
      <c r="V21" s="28"/>
    </row>
    <row r="22" spans="1:22">
      <c r="A22" s="52">
        <v>15</v>
      </c>
      <c r="B22" s="16"/>
      <c r="C22" s="16"/>
      <c r="D22" s="16"/>
      <c r="E22" s="16"/>
      <c r="F22" s="22"/>
      <c r="G22" s="22"/>
      <c r="H22" s="16"/>
      <c r="I22" s="16"/>
      <c r="J22" s="16"/>
      <c r="K22" s="16"/>
      <c r="L22" s="16"/>
      <c r="M22" s="16"/>
      <c r="N22" s="16"/>
      <c r="O22" s="20"/>
      <c r="P22" s="20"/>
      <c r="Q22" s="96">
        <f t="shared" si="0"/>
        <v>0</v>
      </c>
      <c r="R22" s="46"/>
      <c r="S22" s="28"/>
      <c r="T22" s="28"/>
      <c r="U22" s="28"/>
      <c r="V22" s="28"/>
    </row>
    <row r="23" spans="1:22">
      <c r="A23" s="52">
        <v>16</v>
      </c>
      <c r="B23" s="16"/>
      <c r="C23" s="16"/>
      <c r="D23" s="16"/>
      <c r="E23" s="16"/>
      <c r="F23" s="22"/>
      <c r="G23" s="22"/>
      <c r="H23" s="16"/>
      <c r="I23" s="16"/>
      <c r="J23" s="16"/>
      <c r="K23" s="16"/>
      <c r="L23" s="16"/>
      <c r="M23" s="16"/>
      <c r="N23" s="16"/>
      <c r="O23" s="20"/>
      <c r="P23" s="20"/>
      <c r="Q23" s="96">
        <f t="shared" si="0"/>
        <v>0</v>
      </c>
      <c r="R23" s="46"/>
      <c r="S23" s="28"/>
      <c r="T23" s="28"/>
      <c r="U23" s="28"/>
      <c r="V23" s="28"/>
    </row>
    <row r="24" spans="1:22">
      <c r="A24" s="52">
        <v>17</v>
      </c>
      <c r="B24" s="16"/>
      <c r="C24" s="16"/>
      <c r="D24" s="16"/>
      <c r="E24" s="16"/>
      <c r="F24" s="22"/>
      <c r="G24" s="22"/>
      <c r="H24" s="16"/>
      <c r="I24" s="16"/>
      <c r="J24" s="16"/>
      <c r="K24" s="16"/>
      <c r="L24" s="16"/>
      <c r="M24" s="16"/>
      <c r="N24" s="16"/>
      <c r="O24" s="20"/>
      <c r="P24" s="20"/>
      <c r="Q24" s="96">
        <f t="shared" si="0"/>
        <v>0</v>
      </c>
      <c r="R24" s="46"/>
      <c r="S24" s="28"/>
      <c r="T24" s="28"/>
      <c r="U24" s="28"/>
      <c r="V24" s="28"/>
    </row>
    <row r="25" spans="1:22">
      <c r="A25" s="52">
        <v>18</v>
      </c>
      <c r="B25" s="16"/>
      <c r="C25" s="16"/>
      <c r="D25" s="16"/>
      <c r="E25" s="16"/>
      <c r="F25" s="22"/>
      <c r="G25" s="22"/>
      <c r="H25" s="16"/>
      <c r="I25" s="16"/>
      <c r="J25" s="16"/>
      <c r="K25" s="16"/>
      <c r="L25" s="16"/>
      <c r="M25" s="16"/>
      <c r="N25" s="16"/>
      <c r="O25" s="20"/>
      <c r="P25" s="20"/>
      <c r="Q25" s="96">
        <f t="shared" si="0"/>
        <v>0</v>
      </c>
      <c r="R25" s="46"/>
      <c r="S25" s="28"/>
      <c r="T25" s="28"/>
      <c r="U25" s="28"/>
      <c r="V25" s="28"/>
    </row>
    <row r="26" spans="1:22">
      <c r="A26" s="52">
        <v>19</v>
      </c>
      <c r="B26" s="16"/>
      <c r="C26" s="16"/>
      <c r="D26" s="16"/>
      <c r="E26" s="16"/>
      <c r="F26" s="22"/>
      <c r="G26" s="22"/>
      <c r="H26" s="16"/>
      <c r="I26" s="16"/>
      <c r="J26" s="16"/>
      <c r="K26" s="16"/>
      <c r="L26" s="16"/>
      <c r="M26" s="16"/>
      <c r="N26" s="16"/>
      <c r="O26" s="20"/>
      <c r="P26" s="20"/>
      <c r="Q26" s="96">
        <f t="shared" si="0"/>
        <v>0</v>
      </c>
      <c r="R26" s="46"/>
      <c r="S26" s="28"/>
      <c r="T26" s="28"/>
      <c r="U26" s="28"/>
      <c r="V26" s="28"/>
    </row>
    <row r="27" spans="1:22">
      <c r="A27" s="52">
        <v>20</v>
      </c>
      <c r="B27" s="16"/>
      <c r="C27" s="16"/>
      <c r="D27" s="16"/>
      <c r="E27" s="16"/>
      <c r="F27" s="22"/>
      <c r="G27" s="22"/>
      <c r="H27" s="16"/>
      <c r="I27" s="16"/>
      <c r="J27" s="16"/>
      <c r="K27" s="16"/>
      <c r="L27" s="16"/>
      <c r="M27" s="16"/>
      <c r="N27" s="16"/>
      <c r="O27" s="20"/>
      <c r="P27" s="20"/>
      <c r="Q27" s="96">
        <f t="shared" si="0"/>
        <v>0</v>
      </c>
      <c r="R27" s="46"/>
      <c r="S27" s="28"/>
      <c r="T27" s="28"/>
      <c r="U27" s="28"/>
      <c r="V27" s="28"/>
    </row>
    <row r="28" spans="1:22">
      <c r="A28" s="52">
        <v>21</v>
      </c>
      <c r="B28" s="16"/>
      <c r="C28" s="16"/>
      <c r="D28" s="16"/>
      <c r="E28" s="16"/>
      <c r="F28" s="22"/>
      <c r="G28" s="22"/>
      <c r="H28" s="16"/>
      <c r="I28" s="16"/>
      <c r="J28" s="16"/>
      <c r="K28" s="16"/>
      <c r="L28" s="16"/>
      <c r="M28" s="16"/>
      <c r="N28" s="16"/>
      <c r="O28" s="20"/>
      <c r="P28" s="20"/>
      <c r="Q28" s="96">
        <f t="shared" si="0"/>
        <v>0</v>
      </c>
      <c r="R28" s="46"/>
      <c r="S28" s="28"/>
      <c r="T28" s="28"/>
      <c r="U28" s="28"/>
      <c r="V28" s="28"/>
    </row>
    <row r="29" spans="1:22">
      <c r="A29" s="52">
        <v>22</v>
      </c>
      <c r="B29" s="16"/>
      <c r="C29" s="16"/>
      <c r="D29" s="16"/>
      <c r="E29" s="16"/>
      <c r="F29" s="22"/>
      <c r="G29" s="22"/>
      <c r="H29" s="16"/>
      <c r="I29" s="16"/>
      <c r="J29" s="16"/>
      <c r="K29" s="16"/>
      <c r="L29" s="16"/>
      <c r="M29" s="16"/>
      <c r="N29" s="16"/>
      <c r="O29" s="20"/>
      <c r="P29" s="20"/>
      <c r="Q29" s="96">
        <f t="shared" si="0"/>
        <v>0</v>
      </c>
      <c r="R29" s="46"/>
      <c r="S29" s="28"/>
      <c r="T29" s="28"/>
      <c r="U29" s="28"/>
      <c r="V29" s="28"/>
    </row>
    <row r="30" spans="1:22">
      <c r="A30" s="52">
        <v>23</v>
      </c>
      <c r="B30" s="16"/>
      <c r="C30" s="16"/>
      <c r="D30" s="16"/>
      <c r="E30" s="16"/>
      <c r="F30" s="22"/>
      <c r="G30" s="22"/>
      <c r="H30" s="16"/>
      <c r="I30" s="16"/>
      <c r="J30" s="16"/>
      <c r="K30" s="16"/>
      <c r="L30" s="16"/>
      <c r="M30" s="16"/>
      <c r="N30" s="16"/>
      <c r="O30" s="20"/>
      <c r="P30" s="20"/>
      <c r="Q30" s="96">
        <f t="shared" si="0"/>
        <v>0</v>
      </c>
      <c r="R30" s="46"/>
      <c r="S30" s="28"/>
      <c r="T30" s="28"/>
      <c r="U30" s="28"/>
      <c r="V30" s="28"/>
    </row>
    <row r="31" spans="1:22">
      <c r="A31" s="52">
        <v>24</v>
      </c>
      <c r="B31" s="16"/>
      <c r="C31" s="16"/>
      <c r="D31" s="16"/>
      <c r="E31" s="16"/>
      <c r="F31" s="22"/>
      <c r="G31" s="22"/>
      <c r="H31" s="16"/>
      <c r="I31" s="16"/>
      <c r="J31" s="16"/>
      <c r="K31" s="16"/>
      <c r="L31" s="16"/>
      <c r="M31" s="16"/>
      <c r="N31" s="16"/>
      <c r="O31" s="20"/>
      <c r="P31" s="20"/>
      <c r="Q31" s="96">
        <f t="shared" si="0"/>
        <v>0</v>
      </c>
      <c r="R31" s="46"/>
      <c r="S31" s="28"/>
      <c r="T31" s="28"/>
      <c r="U31" s="28"/>
      <c r="V31" s="28"/>
    </row>
    <row r="32" spans="1:22">
      <c r="A32" s="52">
        <v>25</v>
      </c>
      <c r="B32" s="16"/>
      <c r="C32" s="16"/>
      <c r="D32" s="16"/>
      <c r="E32" s="16"/>
      <c r="F32" s="22"/>
      <c r="G32" s="22"/>
      <c r="H32" s="16"/>
      <c r="I32" s="16"/>
      <c r="J32" s="16"/>
      <c r="K32" s="16"/>
      <c r="L32" s="16"/>
      <c r="M32" s="16"/>
      <c r="N32" s="16"/>
      <c r="O32" s="20"/>
      <c r="P32" s="20"/>
      <c r="Q32" s="96">
        <f t="shared" si="0"/>
        <v>0</v>
      </c>
      <c r="R32" s="46"/>
      <c r="S32" s="28"/>
      <c r="T32" s="28"/>
      <c r="U32" s="28"/>
      <c r="V32" s="28"/>
    </row>
    <row r="33" spans="1:22">
      <c r="A33" s="52">
        <v>26</v>
      </c>
      <c r="B33" s="16"/>
      <c r="C33" s="16"/>
      <c r="D33" s="16"/>
      <c r="E33" s="16"/>
      <c r="F33" s="22"/>
      <c r="G33" s="22"/>
      <c r="H33" s="16"/>
      <c r="I33" s="16"/>
      <c r="J33" s="16"/>
      <c r="K33" s="16"/>
      <c r="L33" s="16"/>
      <c r="M33" s="16"/>
      <c r="N33" s="16"/>
      <c r="O33" s="20"/>
      <c r="P33" s="20"/>
      <c r="Q33" s="96">
        <f t="shared" si="0"/>
        <v>0</v>
      </c>
      <c r="R33" s="46"/>
      <c r="S33" s="28"/>
      <c r="T33" s="28"/>
      <c r="U33" s="28"/>
      <c r="V33" s="28"/>
    </row>
    <row r="34" spans="1:22">
      <c r="A34" s="52">
        <v>27</v>
      </c>
      <c r="B34" s="16"/>
      <c r="C34" s="16"/>
      <c r="D34" s="16"/>
      <c r="E34" s="16"/>
      <c r="F34" s="22"/>
      <c r="G34" s="22"/>
      <c r="H34" s="16"/>
      <c r="I34" s="16"/>
      <c r="J34" s="16"/>
      <c r="K34" s="16"/>
      <c r="L34" s="16"/>
      <c r="M34" s="16"/>
      <c r="N34" s="16"/>
      <c r="O34" s="20"/>
      <c r="P34" s="20"/>
      <c r="Q34" s="96">
        <f t="shared" si="0"/>
        <v>0</v>
      </c>
      <c r="R34" s="46"/>
      <c r="S34" s="28"/>
      <c r="T34" s="28"/>
      <c r="U34" s="28"/>
      <c r="V34" s="28"/>
    </row>
    <row r="35" spans="1:22">
      <c r="A35" s="52">
        <v>28</v>
      </c>
      <c r="B35" s="16"/>
      <c r="C35" s="16"/>
      <c r="D35" s="16"/>
      <c r="E35" s="16"/>
      <c r="F35" s="22"/>
      <c r="G35" s="22"/>
      <c r="H35" s="16"/>
      <c r="I35" s="16"/>
      <c r="J35" s="16"/>
      <c r="K35" s="16"/>
      <c r="L35" s="16"/>
      <c r="M35" s="16"/>
      <c r="N35" s="16"/>
      <c r="O35" s="20"/>
      <c r="P35" s="20"/>
      <c r="Q35" s="96">
        <f t="shared" si="0"/>
        <v>0</v>
      </c>
      <c r="R35" s="46"/>
      <c r="S35" s="28"/>
      <c r="T35" s="28"/>
      <c r="U35" s="28"/>
      <c r="V35" s="28"/>
    </row>
    <row r="36" spans="1:22">
      <c r="A36" s="52">
        <v>29</v>
      </c>
      <c r="B36" s="16"/>
      <c r="C36" s="16"/>
      <c r="D36" s="16"/>
      <c r="E36" s="16"/>
      <c r="F36" s="22"/>
      <c r="G36" s="22"/>
      <c r="H36" s="16"/>
      <c r="I36" s="16"/>
      <c r="J36" s="16"/>
      <c r="K36" s="16"/>
      <c r="L36" s="16"/>
      <c r="M36" s="16"/>
      <c r="N36" s="16"/>
      <c r="O36" s="20"/>
      <c r="P36" s="20"/>
      <c r="Q36" s="96">
        <f t="shared" si="0"/>
        <v>0</v>
      </c>
      <c r="R36" s="46"/>
      <c r="S36" s="28"/>
      <c r="T36" s="28"/>
      <c r="U36" s="28"/>
      <c r="V36" s="28"/>
    </row>
    <row r="37" spans="1:22">
      <c r="A37" s="52">
        <v>30</v>
      </c>
      <c r="B37" s="16"/>
      <c r="C37" s="16"/>
      <c r="D37" s="16"/>
      <c r="E37" s="16"/>
      <c r="F37" s="22"/>
      <c r="G37" s="22"/>
      <c r="H37" s="16"/>
      <c r="I37" s="16"/>
      <c r="J37" s="16"/>
      <c r="K37" s="16"/>
      <c r="L37" s="16"/>
      <c r="M37" s="16"/>
      <c r="N37" s="16"/>
      <c r="O37" s="20"/>
      <c r="P37" s="20"/>
      <c r="Q37" s="96">
        <f t="shared" si="0"/>
        <v>0</v>
      </c>
      <c r="R37" s="46"/>
      <c r="S37" s="28"/>
      <c r="T37" s="28"/>
      <c r="U37" s="28"/>
      <c r="V37" s="28"/>
    </row>
    <row r="38" spans="1:22">
      <c r="A38" s="52">
        <v>31</v>
      </c>
      <c r="B38" s="16"/>
      <c r="C38" s="16"/>
      <c r="D38" s="16"/>
      <c r="E38" s="16"/>
      <c r="F38" s="22"/>
      <c r="G38" s="22"/>
      <c r="H38" s="16"/>
      <c r="I38" s="16"/>
      <c r="J38" s="16"/>
      <c r="K38" s="16"/>
      <c r="L38" s="16"/>
      <c r="M38" s="16"/>
      <c r="N38" s="16"/>
      <c r="O38" s="20"/>
      <c r="P38" s="20"/>
      <c r="Q38" s="96">
        <f t="shared" si="0"/>
        <v>0</v>
      </c>
      <c r="R38" s="46"/>
      <c r="S38" s="28"/>
      <c r="T38" s="28"/>
      <c r="U38" s="28"/>
      <c r="V38" s="28"/>
    </row>
    <row r="39" spans="1:22">
      <c r="A39" s="52">
        <v>32</v>
      </c>
      <c r="B39" s="16"/>
      <c r="C39" s="16"/>
      <c r="D39" s="16"/>
      <c r="E39" s="16"/>
      <c r="F39" s="22"/>
      <c r="G39" s="22"/>
      <c r="H39" s="16"/>
      <c r="I39" s="16"/>
      <c r="J39" s="16"/>
      <c r="K39" s="16"/>
      <c r="L39" s="16"/>
      <c r="M39" s="16"/>
      <c r="N39" s="16"/>
      <c r="O39" s="20"/>
      <c r="P39" s="20"/>
      <c r="Q39" s="96">
        <f t="shared" si="0"/>
        <v>0</v>
      </c>
      <c r="R39" s="46"/>
      <c r="S39" s="28"/>
      <c r="T39" s="28"/>
      <c r="U39" s="28"/>
      <c r="V39" s="28"/>
    </row>
    <row r="40" spans="1:22">
      <c r="A40" s="52">
        <v>33</v>
      </c>
      <c r="B40" s="16"/>
      <c r="C40" s="16"/>
      <c r="D40" s="16"/>
      <c r="E40" s="16"/>
      <c r="F40" s="22"/>
      <c r="G40" s="22"/>
      <c r="H40" s="16"/>
      <c r="I40" s="16"/>
      <c r="J40" s="16"/>
      <c r="K40" s="16"/>
      <c r="L40" s="16"/>
      <c r="M40" s="16"/>
      <c r="N40" s="16"/>
      <c r="O40" s="20"/>
      <c r="P40" s="20"/>
      <c r="Q40" s="96">
        <f t="shared" si="0"/>
        <v>0</v>
      </c>
      <c r="R40" s="46"/>
      <c r="S40" s="28"/>
      <c r="T40" s="28"/>
      <c r="U40" s="28"/>
      <c r="V40" s="28"/>
    </row>
    <row r="41" spans="1:22">
      <c r="A41" s="52">
        <v>34</v>
      </c>
      <c r="B41" s="16"/>
      <c r="C41" s="16"/>
      <c r="D41" s="16"/>
      <c r="E41" s="16"/>
      <c r="F41" s="22"/>
      <c r="G41" s="22"/>
      <c r="H41" s="16"/>
      <c r="I41" s="16"/>
      <c r="J41" s="16"/>
      <c r="K41" s="16"/>
      <c r="L41" s="16"/>
      <c r="M41" s="16"/>
      <c r="N41" s="16"/>
      <c r="O41" s="20"/>
      <c r="P41" s="20"/>
      <c r="Q41" s="96">
        <f t="shared" si="0"/>
        <v>0</v>
      </c>
      <c r="R41" s="46"/>
      <c r="S41" s="28"/>
      <c r="T41" s="28"/>
      <c r="U41" s="28"/>
      <c r="V41" s="28"/>
    </row>
    <row r="42" spans="1:22">
      <c r="A42" s="52">
        <v>35</v>
      </c>
      <c r="B42" s="16"/>
      <c r="C42" s="16"/>
      <c r="D42" s="16"/>
      <c r="E42" s="16"/>
      <c r="F42" s="22"/>
      <c r="G42" s="22"/>
      <c r="H42" s="16"/>
      <c r="I42" s="16"/>
      <c r="J42" s="16"/>
      <c r="K42" s="16"/>
      <c r="L42" s="16"/>
      <c r="M42" s="16"/>
      <c r="N42" s="16"/>
      <c r="O42" s="20"/>
      <c r="P42" s="20"/>
      <c r="Q42" s="96">
        <f t="shared" si="0"/>
        <v>0</v>
      </c>
      <c r="R42" s="46"/>
      <c r="S42" s="28"/>
      <c r="T42" s="28"/>
      <c r="U42" s="28"/>
      <c r="V42" s="28"/>
    </row>
    <row r="43" spans="1:22">
      <c r="A43" s="52">
        <v>36</v>
      </c>
      <c r="B43" s="16"/>
      <c r="C43" s="16"/>
      <c r="D43" s="16"/>
      <c r="E43" s="16"/>
      <c r="F43" s="22"/>
      <c r="G43" s="22"/>
      <c r="H43" s="16"/>
      <c r="I43" s="16"/>
      <c r="J43" s="16"/>
      <c r="K43" s="16"/>
      <c r="L43" s="16"/>
      <c r="M43" s="16"/>
      <c r="N43" s="16"/>
      <c r="O43" s="20"/>
      <c r="P43" s="20"/>
      <c r="Q43" s="96">
        <f t="shared" si="0"/>
        <v>0</v>
      </c>
      <c r="R43" s="46"/>
      <c r="S43" s="28"/>
      <c r="T43" s="28"/>
      <c r="U43" s="28"/>
      <c r="V43" s="28"/>
    </row>
    <row r="44" spans="1:22">
      <c r="A44" s="52">
        <v>37</v>
      </c>
      <c r="B44" s="16"/>
      <c r="C44" s="16"/>
      <c r="D44" s="16"/>
      <c r="E44" s="16"/>
      <c r="F44" s="22"/>
      <c r="G44" s="22"/>
      <c r="H44" s="16"/>
      <c r="I44" s="16"/>
      <c r="J44" s="16"/>
      <c r="K44" s="16"/>
      <c r="L44" s="16"/>
      <c r="M44" s="16"/>
      <c r="N44" s="16"/>
      <c r="O44" s="20"/>
      <c r="P44" s="20"/>
      <c r="Q44" s="96">
        <f t="shared" si="0"/>
        <v>0</v>
      </c>
      <c r="R44" s="46"/>
      <c r="S44" s="28"/>
      <c r="T44" s="28"/>
      <c r="U44" s="28"/>
      <c r="V44" s="28"/>
    </row>
    <row r="45" spans="1:22">
      <c r="A45" s="52">
        <v>38</v>
      </c>
      <c r="B45" s="16"/>
      <c r="C45" s="16"/>
      <c r="D45" s="16"/>
      <c r="E45" s="16"/>
      <c r="F45" s="22"/>
      <c r="G45" s="22"/>
      <c r="H45" s="16"/>
      <c r="I45" s="16"/>
      <c r="J45" s="16"/>
      <c r="K45" s="16"/>
      <c r="L45" s="16"/>
      <c r="M45" s="16"/>
      <c r="N45" s="16"/>
      <c r="O45" s="20"/>
      <c r="P45" s="20"/>
      <c r="Q45" s="96">
        <f t="shared" si="0"/>
        <v>0</v>
      </c>
      <c r="R45" s="46"/>
      <c r="S45" s="28"/>
      <c r="T45" s="28"/>
      <c r="U45" s="28"/>
      <c r="V45" s="28"/>
    </row>
    <row r="46" spans="1:22">
      <c r="A46" s="52">
        <v>39</v>
      </c>
      <c r="B46" s="16"/>
      <c r="C46" s="16"/>
      <c r="D46" s="16"/>
      <c r="E46" s="16"/>
      <c r="F46" s="22"/>
      <c r="G46" s="22"/>
      <c r="H46" s="16"/>
      <c r="I46" s="16"/>
      <c r="J46" s="16"/>
      <c r="K46" s="16"/>
      <c r="L46" s="16"/>
      <c r="M46" s="16"/>
      <c r="N46" s="16"/>
      <c r="O46" s="20"/>
      <c r="P46" s="20"/>
      <c r="Q46" s="96">
        <f t="shared" si="0"/>
        <v>0</v>
      </c>
      <c r="R46" s="46"/>
      <c r="S46" s="28"/>
      <c r="T46" s="28"/>
      <c r="U46" s="28"/>
      <c r="V46" s="28"/>
    </row>
    <row r="47" spans="1:22">
      <c r="A47" s="52">
        <v>40</v>
      </c>
      <c r="B47" s="16"/>
      <c r="C47" s="16"/>
      <c r="D47" s="16"/>
      <c r="E47" s="16"/>
      <c r="F47" s="22"/>
      <c r="G47" s="22"/>
      <c r="H47" s="16"/>
      <c r="I47" s="16"/>
      <c r="J47" s="16"/>
      <c r="K47" s="16"/>
      <c r="L47" s="16"/>
      <c r="M47" s="16"/>
      <c r="N47" s="16"/>
      <c r="O47" s="20"/>
      <c r="P47" s="20"/>
      <c r="Q47" s="96">
        <f t="shared" si="0"/>
        <v>0</v>
      </c>
      <c r="R47" s="46"/>
      <c r="S47" s="28"/>
      <c r="T47" s="28"/>
      <c r="U47" s="28"/>
      <c r="V47" s="28"/>
    </row>
    <row r="48" spans="1:22">
      <c r="A48" s="52">
        <v>41</v>
      </c>
      <c r="B48" s="16"/>
      <c r="C48" s="16"/>
      <c r="D48" s="16"/>
      <c r="E48" s="16"/>
      <c r="F48" s="22"/>
      <c r="G48" s="22"/>
      <c r="H48" s="16"/>
      <c r="I48" s="16"/>
      <c r="J48" s="16"/>
      <c r="K48" s="16"/>
      <c r="L48" s="16"/>
      <c r="M48" s="16"/>
      <c r="N48" s="16"/>
      <c r="O48" s="20"/>
      <c r="P48" s="20"/>
      <c r="Q48" s="96">
        <f t="shared" si="0"/>
        <v>0</v>
      </c>
      <c r="R48" s="46"/>
      <c r="S48" s="28"/>
      <c r="T48" s="28"/>
      <c r="U48" s="28"/>
      <c r="V48" s="28"/>
    </row>
    <row r="49" spans="1:22">
      <c r="A49" s="52">
        <v>42</v>
      </c>
      <c r="B49" s="16"/>
      <c r="C49" s="16"/>
      <c r="D49" s="16"/>
      <c r="E49" s="16"/>
      <c r="F49" s="22"/>
      <c r="G49" s="22"/>
      <c r="H49" s="16"/>
      <c r="I49" s="16"/>
      <c r="J49" s="16"/>
      <c r="K49" s="16"/>
      <c r="L49" s="16"/>
      <c r="M49" s="16"/>
      <c r="N49" s="16"/>
      <c r="O49" s="20"/>
      <c r="P49" s="20"/>
      <c r="Q49" s="96">
        <f t="shared" si="0"/>
        <v>0</v>
      </c>
      <c r="R49" s="46"/>
      <c r="S49" s="28"/>
      <c r="T49" s="28"/>
      <c r="U49" s="28"/>
      <c r="V49" s="28"/>
    </row>
    <row r="50" spans="1:22">
      <c r="A50" s="52">
        <v>43</v>
      </c>
      <c r="B50" s="16"/>
      <c r="C50" s="16"/>
      <c r="D50" s="16"/>
      <c r="E50" s="16"/>
      <c r="F50" s="22"/>
      <c r="G50" s="22"/>
      <c r="H50" s="16"/>
      <c r="I50" s="16"/>
      <c r="J50" s="16"/>
      <c r="K50" s="16"/>
      <c r="L50" s="16"/>
      <c r="M50" s="16"/>
      <c r="N50" s="16"/>
      <c r="O50" s="20"/>
      <c r="P50" s="20"/>
      <c r="Q50" s="96">
        <f t="shared" si="0"/>
        <v>0</v>
      </c>
      <c r="R50" s="46"/>
      <c r="S50" s="28"/>
      <c r="T50" s="28"/>
      <c r="U50" s="28"/>
      <c r="V50" s="28"/>
    </row>
    <row r="51" spans="1:22">
      <c r="A51" s="52">
        <v>44</v>
      </c>
      <c r="B51" s="16"/>
      <c r="C51" s="16"/>
      <c r="D51" s="16"/>
      <c r="E51" s="16"/>
      <c r="F51" s="22"/>
      <c r="G51" s="22"/>
      <c r="H51" s="16"/>
      <c r="I51" s="16"/>
      <c r="J51" s="16"/>
      <c r="K51" s="16"/>
      <c r="L51" s="16"/>
      <c r="M51" s="16"/>
      <c r="N51" s="16"/>
      <c r="O51" s="20"/>
      <c r="P51" s="20"/>
      <c r="Q51" s="96">
        <f t="shared" si="0"/>
        <v>0</v>
      </c>
      <c r="R51" s="46"/>
      <c r="S51" s="28"/>
      <c r="T51" s="28"/>
      <c r="U51" s="28"/>
      <c r="V51" s="28"/>
    </row>
    <row r="52" spans="1:22">
      <c r="A52" s="52">
        <v>45</v>
      </c>
      <c r="B52" s="16"/>
      <c r="C52" s="16"/>
      <c r="D52" s="16"/>
      <c r="E52" s="16"/>
      <c r="F52" s="22"/>
      <c r="G52" s="22"/>
      <c r="H52" s="16"/>
      <c r="I52" s="16"/>
      <c r="J52" s="16"/>
      <c r="K52" s="16"/>
      <c r="L52" s="16"/>
      <c r="M52" s="16"/>
      <c r="N52" s="16"/>
      <c r="O52" s="20"/>
      <c r="P52" s="20"/>
      <c r="Q52" s="96">
        <f t="shared" si="0"/>
        <v>0</v>
      </c>
      <c r="R52" s="46"/>
      <c r="S52" s="28"/>
      <c r="T52" s="28"/>
      <c r="U52" s="28"/>
      <c r="V52" s="28"/>
    </row>
    <row r="53" spans="1:22">
      <c r="A53" s="52">
        <v>46</v>
      </c>
      <c r="B53" s="16"/>
      <c r="C53" s="16"/>
      <c r="D53" s="16"/>
      <c r="E53" s="16"/>
      <c r="F53" s="22"/>
      <c r="G53" s="22"/>
      <c r="H53" s="16"/>
      <c r="I53" s="16"/>
      <c r="J53" s="16"/>
      <c r="K53" s="16"/>
      <c r="L53" s="16"/>
      <c r="M53" s="16"/>
      <c r="N53" s="16"/>
      <c r="O53" s="20"/>
      <c r="P53" s="20"/>
      <c r="Q53" s="96">
        <f t="shared" si="0"/>
        <v>0</v>
      </c>
      <c r="R53" s="46"/>
      <c r="S53" s="28"/>
      <c r="T53" s="28"/>
      <c r="U53" s="28"/>
      <c r="V53" s="28"/>
    </row>
    <row r="54" spans="1:22">
      <c r="A54" s="52">
        <v>47</v>
      </c>
      <c r="B54" s="16"/>
      <c r="C54" s="16"/>
      <c r="D54" s="16"/>
      <c r="E54" s="16"/>
      <c r="F54" s="22"/>
      <c r="G54" s="22"/>
      <c r="H54" s="16"/>
      <c r="I54" s="16"/>
      <c r="J54" s="16"/>
      <c r="K54" s="16"/>
      <c r="L54" s="16"/>
      <c r="M54" s="16"/>
      <c r="N54" s="16"/>
      <c r="O54" s="20"/>
      <c r="P54" s="20"/>
      <c r="Q54" s="96">
        <f t="shared" si="0"/>
        <v>0</v>
      </c>
      <c r="R54" s="46"/>
      <c r="S54" s="28"/>
      <c r="T54" s="28"/>
      <c r="U54" s="28"/>
      <c r="V54" s="28"/>
    </row>
    <row r="55" spans="1:22">
      <c r="A55" s="52">
        <v>48</v>
      </c>
      <c r="B55" s="16"/>
      <c r="C55" s="16"/>
      <c r="D55" s="16"/>
      <c r="E55" s="16"/>
      <c r="F55" s="22"/>
      <c r="G55" s="22"/>
      <c r="H55" s="16"/>
      <c r="I55" s="16"/>
      <c r="J55" s="16"/>
      <c r="K55" s="16"/>
      <c r="L55" s="16"/>
      <c r="M55" s="16"/>
      <c r="N55" s="16"/>
      <c r="O55" s="20"/>
      <c r="P55" s="20"/>
      <c r="Q55" s="96">
        <f t="shared" si="0"/>
        <v>0</v>
      </c>
      <c r="R55" s="46"/>
      <c r="S55" s="28"/>
      <c r="T55" s="28"/>
      <c r="U55" s="28"/>
      <c r="V55" s="28"/>
    </row>
    <row r="56" spans="1:22">
      <c r="A56" s="52">
        <v>49</v>
      </c>
      <c r="B56" s="16"/>
      <c r="C56" s="16"/>
      <c r="D56" s="16"/>
      <c r="E56" s="16"/>
      <c r="F56" s="22"/>
      <c r="G56" s="22"/>
      <c r="H56" s="16"/>
      <c r="I56" s="16"/>
      <c r="J56" s="16"/>
      <c r="K56" s="16"/>
      <c r="L56" s="16"/>
      <c r="M56" s="16"/>
      <c r="N56" s="16"/>
      <c r="O56" s="20"/>
      <c r="P56" s="20"/>
      <c r="Q56" s="96">
        <f t="shared" si="0"/>
        <v>0</v>
      </c>
      <c r="R56" s="46"/>
      <c r="S56" s="28"/>
      <c r="T56" s="28"/>
      <c r="U56" s="28"/>
      <c r="V56" s="28"/>
    </row>
    <row r="57" spans="1:22" ht="15" thickBot="1">
      <c r="A57" s="53">
        <v>50</v>
      </c>
      <c r="B57" s="48"/>
      <c r="C57" s="48"/>
      <c r="D57" s="48"/>
      <c r="E57" s="48"/>
      <c r="F57" s="94"/>
      <c r="G57" s="94"/>
      <c r="H57" s="48"/>
      <c r="I57" s="48"/>
      <c r="J57" s="48"/>
      <c r="K57" s="48"/>
      <c r="L57" s="48"/>
      <c r="M57" s="48"/>
      <c r="N57" s="48"/>
      <c r="O57" s="95"/>
      <c r="P57" s="95"/>
      <c r="Q57" s="97">
        <f t="shared" si="0"/>
        <v>0</v>
      </c>
      <c r="R57" s="49"/>
      <c r="S57" s="28"/>
      <c r="T57" s="28"/>
      <c r="U57" s="28"/>
      <c r="V57" s="28"/>
    </row>
    <row r="58" spans="1:22">
      <c r="A58" s="28"/>
      <c r="B58" s="28"/>
      <c r="C58" s="28"/>
      <c r="D58" s="28"/>
      <c r="E58" s="28"/>
      <c r="F58" s="28"/>
      <c r="G58" s="28"/>
      <c r="H58" s="28"/>
      <c r="I58" s="28"/>
      <c r="J58" s="28"/>
      <c r="K58" s="28"/>
      <c r="L58" s="28"/>
      <c r="M58" s="28"/>
      <c r="N58" s="28"/>
      <c r="O58" s="28"/>
      <c r="P58" s="28"/>
      <c r="Q58" s="28"/>
      <c r="R58" s="28"/>
      <c r="S58" s="28"/>
      <c r="T58" s="28"/>
      <c r="U58" s="28"/>
      <c r="V58" s="28"/>
    </row>
    <row r="59" spans="1:22">
      <c r="A59" s="28"/>
      <c r="B59" s="28"/>
      <c r="C59" s="28"/>
      <c r="D59" s="28"/>
      <c r="E59" s="28"/>
      <c r="F59" s="28"/>
      <c r="G59" s="28"/>
      <c r="H59" s="28"/>
      <c r="I59" s="28"/>
      <c r="J59" s="28"/>
      <c r="K59" s="28"/>
      <c r="L59" s="28"/>
      <c r="M59" s="28"/>
      <c r="N59" s="28"/>
      <c r="O59" s="28"/>
      <c r="P59" s="28"/>
      <c r="Q59" s="28"/>
      <c r="R59" s="28"/>
      <c r="S59" s="28"/>
      <c r="T59" s="28"/>
      <c r="U59" s="28"/>
      <c r="V59" s="28"/>
    </row>
    <row r="60" spans="1:22">
      <c r="A60" s="28"/>
      <c r="B60" s="28"/>
      <c r="C60" s="28"/>
      <c r="D60" s="28"/>
      <c r="E60" s="28"/>
      <c r="F60" s="28"/>
      <c r="G60" s="28"/>
      <c r="H60" s="28"/>
      <c r="I60" s="28"/>
      <c r="J60" s="28"/>
      <c r="K60" s="28"/>
      <c r="L60" s="28"/>
      <c r="M60" s="28"/>
      <c r="N60" s="28"/>
      <c r="O60" s="28"/>
      <c r="P60" s="28"/>
      <c r="Q60" s="28"/>
      <c r="R60" s="28"/>
      <c r="S60" s="28"/>
      <c r="T60" s="28"/>
      <c r="U60" s="28"/>
      <c r="V60" s="28"/>
    </row>
    <row r="61" spans="1:22">
      <c r="A61" s="28"/>
      <c r="B61" s="28"/>
      <c r="C61" s="28"/>
      <c r="D61" s="28"/>
      <c r="E61" s="28"/>
      <c r="F61" s="28"/>
      <c r="G61" s="28"/>
      <c r="H61" s="28"/>
      <c r="I61" s="28"/>
      <c r="J61" s="28"/>
      <c r="K61" s="28"/>
      <c r="L61" s="28"/>
      <c r="M61" s="28"/>
      <c r="N61" s="28"/>
      <c r="O61" s="28"/>
      <c r="P61" s="28"/>
      <c r="Q61" s="28"/>
      <c r="R61" s="28"/>
      <c r="S61" s="28"/>
      <c r="T61" s="28"/>
      <c r="U61" s="28"/>
      <c r="V61" s="28"/>
    </row>
    <row r="62" spans="1:22">
      <c r="A62" s="28"/>
      <c r="B62" s="28"/>
      <c r="C62" s="28"/>
      <c r="D62" s="28"/>
      <c r="E62" s="28"/>
      <c r="F62" s="28"/>
      <c r="G62" s="28"/>
      <c r="H62" s="28"/>
      <c r="I62" s="28"/>
      <c r="J62" s="28"/>
      <c r="K62" s="28"/>
      <c r="L62" s="28"/>
      <c r="M62" s="28"/>
      <c r="N62" s="28"/>
      <c r="O62" s="28"/>
      <c r="P62" s="28"/>
      <c r="Q62" s="28"/>
      <c r="R62" s="28"/>
      <c r="S62" s="28"/>
      <c r="T62" s="28"/>
      <c r="U62" s="28"/>
      <c r="V62" s="28"/>
    </row>
    <row r="63" spans="1:22">
      <c r="A63" s="28"/>
      <c r="B63" s="28"/>
      <c r="C63" s="28"/>
      <c r="D63" s="28"/>
      <c r="E63" s="28"/>
      <c r="F63" s="28"/>
      <c r="G63" s="28"/>
      <c r="H63" s="28"/>
      <c r="I63" s="28"/>
      <c r="J63" s="28"/>
      <c r="K63" s="28"/>
      <c r="L63" s="28"/>
      <c r="M63" s="28"/>
      <c r="N63" s="28"/>
      <c r="O63" s="28"/>
      <c r="P63" s="28"/>
      <c r="Q63" s="28"/>
      <c r="R63" s="28"/>
      <c r="S63" s="28"/>
      <c r="T63" s="28"/>
      <c r="U63" s="28"/>
      <c r="V63" s="28"/>
    </row>
    <row r="64" spans="1:22">
      <c r="A64" s="28"/>
      <c r="B64" s="28"/>
      <c r="C64" s="28"/>
      <c r="D64" s="28"/>
      <c r="E64" s="28"/>
      <c r="F64" s="28"/>
      <c r="G64" s="28"/>
      <c r="H64" s="28"/>
      <c r="I64" s="28"/>
      <c r="J64" s="28"/>
      <c r="K64" s="28"/>
      <c r="L64" s="28"/>
      <c r="M64" s="28"/>
      <c r="N64" s="28"/>
      <c r="O64" s="28"/>
      <c r="P64" s="28"/>
      <c r="Q64" s="28"/>
      <c r="R64" s="28"/>
    </row>
  </sheetData>
  <autoFilter ref="A7:R7" xr:uid="{00000000-0009-0000-0000-000021000000}"/>
  <mergeCells count="6">
    <mergeCell ref="A4:G4"/>
    <mergeCell ref="I6:K6"/>
    <mergeCell ref="L6:N6"/>
    <mergeCell ref="O6:Q6"/>
    <mergeCell ref="G6:H6"/>
    <mergeCell ref="B6:F6"/>
  </mergeCells>
  <pageMargins left="0.7" right="0.7" top="0.75" bottom="0.75" header="0.3" footer="0.3"/>
  <pageSetup orientation="portrait"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26"/>
  <dimension ref="A1:W66"/>
  <sheetViews>
    <sheetView zoomScale="60" zoomScaleNormal="60" workbookViewId="0">
      <selection activeCell="B7" sqref="B7"/>
    </sheetView>
  </sheetViews>
  <sheetFormatPr baseColWidth="10" defaultRowHeight="14.5"/>
  <cols>
    <col min="1" max="1" width="7.7265625" customWidth="1"/>
    <col min="2" max="2" width="19.1796875" customWidth="1"/>
    <col min="3" max="17" width="15.81640625" customWidth="1"/>
    <col min="18" max="18" width="17.453125" customWidth="1"/>
  </cols>
  <sheetData>
    <row r="1" spans="1:23" ht="15.5">
      <c r="A1" s="99" t="s">
        <v>378</v>
      </c>
      <c r="B1" s="99"/>
      <c r="C1" s="98"/>
      <c r="D1" s="98"/>
      <c r="E1" s="134"/>
      <c r="F1" s="134"/>
      <c r="G1" s="134"/>
      <c r="H1" s="134"/>
      <c r="I1" s="134"/>
      <c r="J1" s="134"/>
      <c r="K1" s="134"/>
      <c r="L1" s="134"/>
      <c r="M1" s="134"/>
      <c r="N1" s="134"/>
      <c r="O1" s="28"/>
      <c r="P1" s="28"/>
      <c r="Q1" s="28"/>
      <c r="R1" s="28"/>
      <c r="S1" s="28"/>
      <c r="T1" s="28"/>
      <c r="U1" s="28"/>
      <c r="V1" s="28"/>
      <c r="W1" s="28"/>
    </row>
    <row r="2" spans="1:23" ht="15.5">
      <c r="A2" s="99"/>
      <c r="B2" s="99"/>
      <c r="C2" s="98"/>
      <c r="D2" s="98"/>
      <c r="E2" s="134"/>
      <c r="F2" s="134"/>
      <c r="G2" s="134"/>
      <c r="H2" s="134"/>
      <c r="I2" s="134"/>
      <c r="J2" s="134"/>
      <c r="K2" s="134"/>
      <c r="L2" s="134"/>
      <c r="M2" s="134"/>
      <c r="N2" s="134"/>
      <c r="O2" s="28"/>
      <c r="P2" s="28"/>
      <c r="Q2" s="28"/>
      <c r="R2" s="28"/>
      <c r="S2" s="28"/>
      <c r="T2" s="28"/>
      <c r="U2" s="28"/>
      <c r="V2" s="28"/>
      <c r="W2" s="28"/>
    </row>
    <row r="3" spans="1:23" s="161" customFormat="1" ht="51" customHeight="1">
      <c r="A3" s="573" t="s">
        <v>379</v>
      </c>
      <c r="B3" s="573"/>
      <c r="C3" s="573"/>
      <c r="D3" s="573"/>
      <c r="E3" s="573"/>
      <c r="F3" s="573"/>
      <c r="G3" s="573"/>
      <c r="H3" s="163"/>
      <c r="I3" s="163"/>
      <c r="J3" s="163"/>
      <c r="K3" s="163"/>
      <c r="L3" s="163"/>
      <c r="M3" s="163"/>
      <c r="N3" s="163"/>
      <c r="O3" s="123"/>
      <c r="P3" s="123"/>
      <c r="Q3" s="123"/>
      <c r="R3" s="123"/>
      <c r="S3" s="123"/>
      <c r="T3" s="123"/>
      <c r="U3" s="123"/>
      <c r="V3" s="123"/>
      <c r="W3" s="123"/>
    </row>
    <row r="4" spans="1:23" ht="82.5" customHeight="1">
      <c r="A4" s="655" t="s">
        <v>509</v>
      </c>
      <c r="B4" s="655"/>
      <c r="C4" s="655"/>
      <c r="D4" s="655"/>
      <c r="E4" s="655"/>
      <c r="F4" s="655"/>
      <c r="G4" s="655"/>
      <c r="H4" s="134"/>
      <c r="I4" s="134"/>
      <c r="J4" s="134"/>
      <c r="K4" s="134"/>
      <c r="L4" s="134"/>
      <c r="M4" s="134"/>
      <c r="N4" s="134"/>
      <c r="O4" s="28"/>
      <c r="P4" s="28"/>
      <c r="Q4" s="28"/>
      <c r="R4" s="28"/>
      <c r="S4" s="28"/>
      <c r="T4" s="28"/>
      <c r="U4" s="28"/>
      <c r="V4" s="28"/>
      <c r="W4" s="28"/>
    </row>
    <row r="5" spans="1:23" ht="16" thickBot="1">
      <c r="A5" s="99"/>
      <c r="B5" s="99"/>
      <c r="C5" s="98"/>
      <c r="D5" s="98"/>
      <c r="E5" s="134"/>
      <c r="F5" s="134"/>
      <c r="G5" s="134"/>
      <c r="H5" s="134"/>
      <c r="I5" s="134"/>
      <c r="J5" s="134"/>
      <c r="K5" s="134"/>
      <c r="L5" s="134"/>
      <c r="M5" s="134"/>
      <c r="N5" s="134"/>
      <c r="O5" s="28"/>
      <c r="P5" s="28"/>
      <c r="Q5" s="28"/>
      <c r="R5" s="28"/>
      <c r="S5" s="28"/>
      <c r="T5" s="28"/>
      <c r="U5" s="28"/>
      <c r="V5" s="28"/>
      <c r="W5" s="28"/>
    </row>
    <row r="6" spans="1:23" ht="16" customHeight="1" thickBot="1">
      <c r="A6" s="99"/>
      <c r="B6" s="683" t="s">
        <v>263</v>
      </c>
      <c r="C6" s="684"/>
      <c r="D6" s="684"/>
      <c r="E6" s="684"/>
      <c r="F6" s="684"/>
      <c r="G6" s="684"/>
      <c r="H6" s="684"/>
      <c r="I6" s="685"/>
      <c r="J6" s="680" t="s">
        <v>49</v>
      </c>
      <c r="K6" s="681"/>
      <c r="L6" s="682"/>
      <c r="M6" s="689" t="s">
        <v>273</v>
      </c>
      <c r="N6" s="686" t="s">
        <v>274</v>
      </c>
      <c r="O6" s="687"/>
      <c r="P6" s="687"/>
      <c r="Q6" s="688"/>
      <c r="R6" s="28"/>
      <c r="S6" s="28"/>
      <c r="T6" s="28"/>
      <c r="U6" s="28"/>
      <c r="V6" s="28"/>
    </row>
    <row r="7" spans="1:23" ht="87.5" thickBot="1">
      <c r="A7" s="211" t="s">
        <v>29</v>
      </c>
      <c r="B7" s="107" t="s">
        <v>438</v>
      </c>
      <c r="C7" s="108" t="s">
        <v>47</v>
      </c>
      <c r="D7" s="108" t="s">
        <v>48</v>
      </c>
      <c r="E7" s="108" t="s">
        <v>61</v>
      </c>
      <c r="F7" s="108" t="s">
        <v>380</v>
      </c>
      <c r="G7" s="108" t="s">
        <v>270</v>
      </c>
      <c r="H7" s="108" t="s">
        <v>271</v>
      </c>
      <c r="I7" s="109" t="s">
        <v>272</v>
      </c>
      <c r="J7" s="110" t="s">
        <v>439</v>
      </c>
      <c r="K7" s="110" t="s">
        <v>510</v>
      </c>
      <c r="L7" s="111" t="s">
        <v>49</v>
      </c>
      <c r="M7" s="690"/>
      <c r="N7" s="112" t="s">
        <v>440</v>
      </c>
      <c r="O7" s="113" t="s">
        <v>441</v>
      </c>
      <c r="P7" s="114" t="s">
        <v>437</v>
      </c>
      <c r="Q7" s="260" t="s">
        <v>442</v>
      </c>
      <c r="R7" s="261" t="s">
        <v>121</v>
      </c>
      <c r="S7" s="28"/>
      <c r="T7" s="28"/>
      <c r="U7" s="28"/>
      <c r="V7" s="28"/>
    </row>
    <row r="8" spans="1:23">
      <c r="A8" s="76">
        <v>1</v>
      </c>
      <c r="B8" s="67"/>
      <c r="C8" s="69"/>
      <c r="D8" s="69"/>
      <c r="E8" s="69"/>
      <c r="F8" s="69"/>
      <c r="G8" s="69"/>
      <c r="H8" s="69"/>
      <c r="I8" s="72"/>
      <c r="J8" s="162"/>
      <c r="K8" s="102"/>
      <c r="L8" s="103"/>
      <c r="M8" s="106"/>
      <c r="N8" s="104"/>
      <c r="O8" s="100"/>
      <c r="P8" s="101">
        <f>N8+O8</f>
        <v>0</v>
      </c>
      <c r="Q8" s="100"/>
      <c r="R8" s="69"/>
      <c r="S8" s="28"/>
      <c r="T8" s="28"/>
      <c r="U8" s="28"/>
      <c r="V8" s="28"/>
    </row>
    <row r="9" spans="1:23">
      <c r="A9" s="58">
        <v>2</v>
      </c>
      <c r="B9" s="52"/>
      <c r="C9" s="16"/>
      <c r="D9" s="16"/>
      <c r="E9" s="16"/>
      <c r="F9" s="16"/>
      <c r="G9" s="16"/>
      <c r="H9" s="16"/>
      <c r="I9" s="46"/>
      <c r="J9" s="150"/>
      <c r="K9" s="45"/>
      <c r="L9" s="77"/>
      <c r="M9" s="83"/>
      <c r="N9" s="105"/>
      <c r="O9" s="20"/>
      <c r="P9" s="21">
        <f t="shared" ref="P9:P57" si="0">N9+O9</f>
        <v>0</v>
      </c>
      <c r="Q9" s="20"/>
      <c r="R9" s="16"/>
      <c r="S9" s="28"/>
      <c r="T9" s="28"/>
      <c r="U9" s="28"/>
      <c r="V9" s="28"/>
    </row>
    <row r="10" spans="1:23">
      <c r="A10" s="58">
        <v>3</v>
      </c>
      <c r="B10" s="52"/>
      <c r="C10" s="16"/>
      <c r="D10" s="16"/>
      <c r="E10" s="16"/>
      <c r="F10" s="16"/>
      <c r="G10" s="16"/>
      <c r="H10" s="16"/>
      <c r="I10" s="46"/>
      <c r="J10" s="150"/>
      <c r="K10" s="45"/>
      <c r="L10" s="77"/>
      <c r="M10" s="83"/>
      <c r="N10" s="105"/>
      <c r="O10" s="20"/>
      <c r="P10" s="21">
        <f t="shared" si="0"/>
        <v>0</v>
      </c>
      <c r="Q10" s="20"/>
      <c r="R10" s="16"/>
      <c r="S10" s="28"/>
      <c r="T10" s="28"/>
      <c r="U10" s="28"/>
      <c r="V10" s="28"/>
    </row>
    <row r="11" spans="1:23">
      <c r="A11" s="58">
        <v>4</v>
      </c>
      <c r="B11" s="52"/>
      <c r="C11" s="16"/>
      <c r="D11" s="16"/>
      <c r="E11" s="16"/>
      <c r="F11" s="16"/>
      <c r="G11" s="16"/>
      <c r="H11" s="16"/>
      <c r="I11" s="46"/>
      <c r="J11" s="150"/>
      <c r="K11" s="45"/>
      <c r="L11" s="77"/>
      <c r="M11" s="83"/>
      <c r="N11" s="105"/>
      <c r="O11" s="20"/>
      <c r="P11" s="21">
        <f t="shared" si="0"/>
        <v>0</v>
      </c>
      <c r="Q11" s="20"/>
      <c r="R11" s="16"/>
      <c r="S11" s="28"/>
      <c r="T11" s="28"/>
      <c r="U11" s="28"/>
      <c r="V11" s="28"/>
    </row>
    <row r="12" spans="1:23">
      <c r="A12" s="58">
        <v>5</v>
      </c>
      <c r="B12" s="52"/>
      <c r="C12" s="16"/>
      <c r="D12" s="16"/>
      <c r="E12" s="16"/>
      <c r="F12" s="16"/>
      <c r="G12" s="16"/>
      <c r="H12" s="16"/>
      <c r="I12" s="46"/>
      <c r="J12" s="150"/>
      <c r="K12" s="45"/>
      <c r="L12" s="77"/>
      <c r="M12" s="83"/>
      <c r="N12" s="105"/>
      <c r="O12" s="20"/>
      <c r="P12" s="21">
        <f t="shared" si="0"/>
        <v>0</v>
      </c>
      <c r="Q12" s="20"/>
      <c r="R12" s="16"/>
      <c r="S12" s="28"/>
      <c r="T12" s="28"/>
      <c r="U12" s="28"/>
      <c r="V12" s="28"/>
    </row>
    <row r="13" spans="1:23">
      <c r="A13" s="58">
        <v>6</v>
      </c>
      <c r="B13" s="52"/>
      <c r="C13" s="16"/>
      <c r="D13" s="16"/>
      <c r="E13" s="16"/>
      <c r="F13" s="16"/>
      <c r="G13" s="16"/>
      <c r="H13" s="16"/>
      <c r="I13" s="46"/>
      <c r="J13" s="150"/>
      <c r="K13" s="45"/>
      <c r="L13" s="77"/>
      <c r="M13" s="83"/>
      <c r="N13" s="105"/>
      <c r="O13" s="20"/>
      <c r="P13" s="21">
        <f t="shared" si="0"/>
        <v>0</v>
      </c>
      <c r="Q13" s="20"/>
      <c r="R13" s="16"/>
      <c r="S13" s="28"/>
      <c r="T13" s="28"/>
      <c r="U13" s="28"/>
      <c r="V13" s="28"/>
    </row>
    <row r="14" spans="1:23">
      <c r="A14" s="58">
        <v>7</v>
      </c>
      <c r="B14" s="52"/>
      <c r="C14" s="16"/>
      <c r="D14" s="16"/>
      <c r="E14" s="16"/>
      <c r="F14" s="16"/>
      <c r="G14" s="16"/>
      <c r="H14" s="16"/>
      <c r="I14" s="46"/>
      <c r="J14" s="150"/>
      <c r="K14" s="45"/>
      <c r="L14" s="77"/>
      <c r="M14" s="83"/>
      <c r="N14" s="105"/>
      <c r="O14" s="20"/>
      <c r="P14" s="21">
        <f t="shared" si="0"/>
        <v>0</v>
      </c>
      <c r="Q14" s="20"/>
      <c r="R14" s="16"/>
      <c r="S14" s="28"/>
      <c r="T14" s="28"/>
      <c r="U14" s="28"/>
      <c r="V14" s="28"/>
    </row>
    <row r="15" spans="1:23">
      <c r="A15" s="58">
        <v>8</v>
      </c>
      <c r="B15" s="52"/>
      <c r="C15" s="16"/>
      <c r="D15" s="16"/>
      <c r="E15" s="16"/>
      <c r="F15" s="16"/>
      <c r="G15" s="16"/>
      <c r="H15" s="16"/>
      <c r="I15" s="46"/>
      <c r="J15" s="150"/>
      <c r="K15" s="45"/>
      <c r="L15" s="77"/>
      <c r="M15" s="83"/>
      <c r="N15" s="105"/>
      <c r="O15" s="20"/>
      <c r="P15" s="21">
        <f t="shared" si="0"/>
        <v>0</v>
      </c>
      <c r="Q15" s="20"/>
      <c r="R15" s="16"/>
      <c r="S15" s="28"/>
      <c r="T15" s="28"/>
      <c r="U15" s="28"/>
      <c r="V15" s="28"/>
    </row>
    <row r="16" spans="1:23">
      <c r="A16" s="58">
        <v>9</v>
      </c>
      <c r="B16" s="52"/>
      <c r="C16" s="16"/>
      <c r="D16" s="16"/>
      <c r="E16" s="16"/>
      <c r="F16" s="16"/>
      <c r="G16" s="16"/>
      <c r="H16" s="16"/>
      <c r="I16" s="46"/>
      <c r="J16" s="150"/>
      <c r="K16" s="45"/>
      <c r="L16" s="77"/>
      <c r="M16" s="83"/>
      <c r="N16" s="105"/>
      <c r="O16" s="20"/>
      <c r="P16" s="21">
        <f t="shared" si="0"/>
        <v>0</v>
      </c>
      <c r="Q16" s="20"/>
      <c r="R16" s="16"/>
      <c r="S16" s="28"/>
      <c r="T16" s="28"/>
      <c r="U16" s="28"/>
      <c r="V16" s="28"/>
    </row>
    <row r="17" spans="1:22">
      <c r="A17" s="58">
        <v>10</v>
      </c>
      <c r="B17" s="52"/>
      <c r="C17" s="16"/>
      <c r="D17" s="16"/>
      <c r="E17" s="16"/>
      <c r="F17" s="16"/>
      <c r="G17" s="16"/>
      <c r="H17" s="16"/>
      <c r="I17" s="46"/>
      <c r="J17" s="150"/>
      <c r="K17" s="45"/>
      <c r="L17" s="77"/>
      <c r="M17" s="83"/>
      <c r="N17" s="105"/>
      <c r="O17" s="20"/>
      <c r="P17" s="21">
        <f t="shared" si="0"/>
        <v>0</v>
      </c>
      <c r="Q17" s="20"/>
      <c r="R17" s="16"/>
      <c r="S17" s="28"/>
      <c r="T17" s="28"/>
      <c r="U17" s="28"/>
      <c r="V17" s="28"/>
    </row>
    <row r="18" spans="1:22">
      <c r="A18" s="58">
        <v>11</v>
      </c>
      <c r="B18" s="52"/>
      <c r="C18" s="16"/>
      <c r="D18" s="16"/>
      <c r="E18" s="16"/>
      <c r="F18" s="16"/>
      <c r="G18" s="16"/>
      <c r="H18" s="16"/>
      <c r="I18" s="46"/>
      <c r="J18" s="150"/>
      <c r="K18" s="45"/>
      <c r="L18" s="77"/>
      <c r="M18" s="83"/>
      <c r="N18" s="105"/>
      <c r="O18" s="20"/>
      <c r="P18" s="21">
        <f t="shared" si="0"/>
        <v>0</v>
      </c>
      <c r="Q18" s="20"/>
      <c r="R18" s="16"/>
      <c r="S18" s="28"/>
      <c r="T18" s="28"/>
      <c r="U18" s="28"/>
      <c r="V18" s="28"/>
    </row>
    <row r="19" spans="1:22">
      <c r="A19" s="58">
        <v>12</v>
      </c>
      <c r="B19" s="52"/>
      <c r="C19" s="16"/>
      <c r="D19" s="16"/>
      <c r="E19" s="16"/>
      <c r="F19" s="16"/>
      <c r="G19" s="16"/>
      <c r="H19" s="16"/>
      <c r="I19" s="46"/>
      <c r="J19" s="150"/>
      <c r="K19" s="45"/>
      <c r="L19" s="77"/>
      <c r="M19" s="83"/>
      <c r="N19" s="105"/>
      <c r="O19" s="20"/>
      <c r="P19" s="21">
        <f t="shared" si="0"/>
        <v>0</v>
      </c>
      <c r="Q19" s="20"/>
      <c r="R19" s="16"/>
      <c r="S19" s="28"/>
      <c r="T19" s="28"/>
      <c r="U19" s="28"/>
      <c r="V19" s="28"/>
    </row>
    <row r="20" spans="1:22">
      <c r="A20" s="58">
        <v>13</v>
      </c>
      <c r="B20" s="52"/>
      <c r="C20" s="16"/>
      <c r="D20" s="16"/>
      <c r="E20" s="16"/>
      <c r="F20" s="16"/>
      <c r="G20" s="16"/>
      <c r="H20" s="16"/>
      <c r="I20" s="46"/>
      <c r="J20" s="150"/>
      <c r="K20" s="45"/>
      <c r="L20" s="77"/>
      <c r="M20" s="83"/>
      <c r="N20" s="105"/>
      <c r="O20" s="20"/>
      <c r="P20" s="21">
        <f t="shared" si="0"/>
        <v>0</v>
      </c>
      <c r="Q20" s="20"/>
      <c r="R20" s="16"/>
      <c r="S20" s="28"/>
      <c r="T20" s="28"/>
      <c r="U20" s="28"/>
      <c r="V20" s="28"/>
    </row>
    <row r="21" spans="1:22">
      <c r="A21" s="58">
        <v>14</v>
      </c>
      <c r="B21" s="52"/>
      <c r="C21" s="16"/>
      <c r="D21" s="16"/>
      <c r="E21" s="16"/>
      <c r="F21" s="16"/>
      <c r="G21" s="16"/>
      <c r="H21" s="16"/>
      <c r="I21" s="46"/>
      <c r="J21" s="150"/>
      <c r="K21" s="45"/>
      <c r="L21" s="77"/>
      <c r="M21" s="83"/>
      <c r="N21" s="105"/>
      <c r="O21" s="20"/>
      <c r="P21" s="21">
        <f t="shared" si="0"/>
        <v>0</v>
      </c>
      <c r="Q21" s="20"/>
      <c r="R21" s="16"/>
      <c r="S21" s="28"/>
      <c r="T21" s="28"/>
      <c r="U21" s="28"/>
      <c r="V21" s="28"/>
    </row>
    <row r="22" spans="1:22">
      <c r="A22" s="58">
        <v>15</v>
      </c>
      <c r="B22" s="52"/>
      <c r="C22" s="16"/>
      <c r="D22" s="16"/>
      <c r="E22" s="16"/>
      <c r="F22" s="16"/>
      <c r="G22" s="16"/>
      <c r="H22" s="16"/>
      <c r="I22" s="46"/>
      <c r="J22" s="150"/>
      <c r="K22" s="45"/>
      <c r="L22" s="77"/>
      <c r="M22" s="83"/>
      <c r="N22" s="105"/>
      <c r="O22" s="20"/>
      <c r="P22" s="21">
        <f t="shared" si="0"/>
        <v>0</v>
      </c>
      <c r="Q22" s="20"/>
      <c r="R22" s="16"/>
      <c r="S22" s="28"/>
      <c r="T22" s="28"/>
      <c r="U22" s="28"/>
      <c r="V22" s="28"/>
    </row>
    <row r="23" spans="1:22">
      <c r="A23" s="58">
        <v>16</v>
      </c>
      <c r="B23" s="52"/>
      <c r="C23" s="16"/>
      <c r="D23" s="16"/>
      <c r="E23" s="16"/>
      <c r="F23" s="16"/>
      <c r="G23" s="16"/>
      <c r="H23" s="16"/>
      <c r="I23" s="46"/>
      <c r="J23" s="150"/>
      <c r="K23" s="45"/>
      <c r="L23" s="77"/>
      <c r="M23" s="83"/>
      <c r="N23" s="105"/>
      <c r="O23" s="20"/>
      <c r="P23" s="21">
        <f t="shared" si="0"/>
        <v>0</v>
      </c>
      <c r="Q23" s="20"/>
      <c r="R23" s="16"/>
      <c r="S23" s="28"/>
      <c r="T23" s="28"/>
      <c r="U23" s="28"/>
      <c r="V23" s="28"/>
    </row>
    <row r="24" spans="1:22">
      <c r="A24" s="58">
        <v>17</v>
      </c>
      <c r="B24" s="52"/>
      <c r="C24" s="16"/>
      <c r="D24" s="16"/>
      <c r="E24" s="16"/>
      <c r="F24" s="16"/>
      <c r="G24" s="16"/>
      <c r="H24" s="16"/>
      <c r="I24" s="46"/>
      <c r="J24" s="150"/>
      <c r="K24" s="45"/>
      <c r="L24" s="77"/>
      <c r="M24" s="83"/>
      <c r="N24" s="105"/>
      <c r="O24" s="20"/>
      <c r="P24" s="21">
        <f t="shared" si="0"/>
        <v>0</v>
      </c>
      <c r="Q24" s="20"/>
      <c r="R24" s="16"/>
      <c r="S24" s="28"/>
      <c r="T24" s="28"/>
      <c r="U24" s="28"/>
      <c r="V24" s="28"/>
    </row>
    <row r="25" spans="1:22">
      <c r="A25" s="58">
        <v>18</v>
      </c>
      <c r="B25" s="52"/>
      <c r="C25" s="16"/>
      <c r="D25" s="16"/>
      <c r="E25" s="16"/>
      <c r="F25" s="16"/>
      <c r="G25" s="16"/>
      <c r="H25" s="16"/>
      <c r="I25" s="46"/>
      <c r="J25" s="150"/>
      <c r="K25" s="45"/>
      <c r="L25" s="77"/>
      <c r="M25" s="83"/>
      <c r="N25" s="105"/>
      <c r="O25" s="20"/>
      <c r="P25" s="21">
        <f t="shared" si="0"/>
        <v>0</v>
      </c>
      <c r="Q25" s="20"/>
      <c r="R25" s="16"/>
      <c r="S25" s="28"/>
      <c r="T25" s="28"/>
      <c r="U25" s="28"/>
      <c r="V25" s="28"/>
    </row>
    <row r="26" spans="1:22">
      <c r="A26" s="58">
        <v>19</v>
      </c>
      <c r="B26" s="52"/>
      <c r="C26" s="16"/>
      <c r="D26" s="16"/>
      <c r="E26" s="16"/>
      <c r="F26" s="16"/>
      <c r="G26" s="16"/>
      <c r="H26" s="16"/>
      <c r="I26" s="46"/>
      <c r="J26" s="150"/>
      <c r="K26" s="45"/>
      <c r="L26" s="77"/>
      <c r="M26" s="83"/>
      <c r="N26" s="105"/>
      <c r="O26" s="20"/>
      <c r="P26" s="21">
        <f t="shared" si="0"/>
        <v>0</v>
      </c>
      <c r="Q26" s="20"/>
      <c r="R26" s="16"/>
      <c r="S26" s="28"/>
      <c r="T26" s="28"/>
      <c r="U26" s="28"/>
      <c r="V26" s="28"/>
    </row>
    <row r="27" spans="1:22">
      <c r="A27" s="58">
        <v>20</v>
      </c>
      <c r="B27" s="52"/>
      <c r="C27" s="16"/>
      <c r="D27" s="16"/>
      <c r="E27" s="16"/>
      <c r="F27" s="16"/>
      <c r="G27" s="16"/>
      <c r="H27" s="16"/>
      <c r="I27" s="46"/>
      <c r="J27" s="150"/>
      <c r="K27" s="45"/>
      <c r="L27" s="77"/>
      <c r="M27" s="83"/>
      <c r="N27" s="105"/>
      <c r="O27" s="20"/>
      <c r="P27" s="21">
        <f t="shared" si="0"/>
        <v>0</v>
      </c>
      <c r="Q27" s="20"/>
      <c r="R27" s="16"/>
      <c r="S27" s="28"/>
      <c r="T27" s="28"/>
      <c r="U27" s="28"/>
      <c r="V27" s="28"/>
    </row>
    <row r="28" spans="1:22">
      <c r="A28" s="58">
        <v>21</v>
      </c>
      <c r="B28" s="52"/>
      <c r="C28" s="16"/>
      <c r="D28" s="16"/>
      <c r="E28" s="16"/>
      <c r="F28" s="16"/>
      <c r="G28" s="16"/>
      <c r="H28" s="16"/>
      <c r="I28" s="46"/>
      <c r="J28" s="150"/>
      <c r="K28" s="45"/>
      <c r="L28" s="77"/>
      <c r="M28" s="83"/>
      <c r="N28" s="105"/>
      <c r="O28" s="20"/>
      <c r="P28" s="21">
        <f t="shared" si="0"/>
        <v>0</v>
      </c>
      <c r="Q28" s="20"/>
      <c r="R28" s="16"/>
      <c r="S28" s="28"/>
      <c r="T28" s="28"/>
      <c r="U28" s="28"/>
      <c r="V28" s="28"/>
    </row>
    <row r="29" spans="1:22">
      <c r="A29" s="58">
        <v>22</v>
      </c>
      <c r="B29" s="52"/>
      <c r="C29" s="16"/>
      <c r="D29" s="16"/>
      <c r="E29" s="16"/>
      <c r="F29" s="16"/>
      <c r="G29" s="16"/>
      <c r="H29" s="16"/>
      <c r="I29" s="46"/>
      <c r="J29" s="150"/>
      <c r="K29" s="45"/>
      <c r="L29" s="77"/>
      <c r="M29" s="83"/>
      <c r="N29" s="105"/>
      <c r="O29" s="20"/>
      <c r="P29" s="21">
        <f t="shared" si="0"/>
        <v>0</v>
      </c>
      <c r="Q29" s="20"/>
      <c r="R29" s="16"/>
      <c r="S29" s="28"/>
      <c r="T29" s="28"/>
      <c r="U29" s="28"/>
      <c r="V29" s="28"/>
    </row>
    <row r="30" spans="1:22">
      <c r="A30" s="58">
        <v>23</v>
      </c>
      <c r="B30" s="52"/>
      <c r="C30" s="16"/>
      <c r="D30" s="16"/>
      <c r="E30" s="16"/>
      <c r="F30" s="16"/>
      <c r="G30" s="16"/>
      <c r="H30" s="16"/>
      <c r="I30" s="46"/>
      <c r="J30" s="150"/>
      <c r="K30" s="45"/>
      <c r="L30" s="77"/>
      <c r="M30" s="83"/>
      <c r="N30" s="105"/>
      <c r="O30" s="20"/>
      <c r="P30" s="21">
        <f t="shared" si="0"/>
        <v>0</v>
      </c>
      <c r="Q30" s="20"/>
      <c r="R30" s="16"/>
      <c r="S30" s="28"/>
      <c r="T30" s="28"/>
      <c r="U30" s="28"/>
      <c r="V30" s="28"/>
    </row>
    <row r="31" spans="1:22">
      <c r="A31" s="58">
        <v>24</v>
      </c>
      <c r="B31" s="52"/>
      <c r="C31" s="16"/>
      <c r="D31" s="16"/>
      <c r="E31" s="16"/>
      <c r="F31" s="16"/>
      <c r="G31" s="16"/>
      <c r="H31" s="16"/>
      <c r="I31" s="46"/>
      <c r="J31" s="150"/>
      <c r="K31" s="45"/>
      <c r="L31" s="77"/>
      <c r="M31" s="83"/>
      <c r="N31" s="105"/>
      <c r="O31" s="20"/>
      <c r="P31" s="21">
        <f t="shared" si="0"/>
        <v>0</v>
      </c>
      <c r="Q31" s="20"/>
      <c r="R31" s="16"/>
      <c r="S31" s="28"/>
      <c r="T31" s="28"/>
      <c r="U31" s="28"/>
      <c r="V31" s="28"/>
    </row>
    <row r="32" spans="1:22">
      <c r="A32" s="58">
        <v>25</v>
      </c>
      <c r="B32" s="52"/>
      <c r="C32" s="16"/>
      <c r="D32" s="16"/>
      <c r="E32" s="16"/>
      <c r="F32" s="16"/>
      <c r="G32" s="16"/>
      <c r="H32" s="16"/>
      <c r="I32" s="46"/>
      <c r="J32" s="150"/>
      <c r="K32" s="45"/>
      <c r="L32" s="77"/>
      <c r="M32" s="83"/>
      <c r="N32" s="105"/>
      <c r="O32" s="20"/>
      <c r="P32" s="21">
        <f t="shared" si="0"/>
        <v>0</v>
      </c>
      <c r="Q32" s="20"/>
      <c r="R32" s="16"/>
      <c r="S32" s="28"/>
      <c r="T32" s="28"/>
      <c r="U32" s="28"/>
      <c r="V32" s="28"/>
    </row>
    <row r="33" spans="1:22">
      <c r="A33" s="58">
        <v>26</v>
      </c>
      <c r="B33" s="52"/>
      <c r="C33" s="16"/>
      <c r="D33" s="16"/>
      <c r="E33" s="16"/>
      <c r="F33" s="16"/>
      <c r="G33" s="16"/>
      <c r="H33" s="16"/>
      <c r="I33" s="46"/>
      <c r="J33" s="150"/>
      <c r="K33" s="45"/>
      <c r="L33" s="77"/>
      <c r="M33" s="83"/>
      <c r="N33" s="105"/>
      <c r="O33" s="20"/>
      <c r="P33" s="21">
        <f t="shared" si="0"/>
        <v>0</v>
      </c>
      <c r="Q33" s="20"/>
      <c r="R33" s="16"/>
      <c r="S33" s="28"/>
      <c r="T33" s="28"/>
      <c r="U33" s="28"/>
      <c r="V33" s="28"/>
    </row>
    <row r="34" spans="1:22">
      <c r="A34" s="58">
        <v>27</v>
      </c>
      <c r="B34" s="52"/>
      <c r="C34" s="16"/>
      <c r="D34" s="16"/>
      <c r="E34" s="16"/>
      <c r="F34" s="16"/>
      <c r="G34" s="16"/>
      <c r="H34" s="16"/>
      <c r="I34" s="46"/>
      <c r="J34" s="150"/>
      <c r="K34" s="45"/>
      <c r="L34" s="77"/>
      <c r="M34" s="83"/>
      <c r="N34" s="105"/>
      <c r="O34" s="20"/>
      <c r="P34" s="21">
        <f t="shared" si="0"/>
        <v>0</v>
      </c>
      <c r="Q34" s="20"/>
      <c r="R34" s="16"/>
      <c r="S34" s="28"/>
      <c r="T34" s="28"/>
      <c r="U34" s="28"/>
      <c r="V34" s="28"/>
    </row>
    <row r="35" spans="1:22">
      <c r="A35" s="58">
        <v>28</v>
      </c>
      <c r="B35" s="52"/>
      <c r="C35" s="16"/>
      <c r="D35" s="16"/>
      <c r="E35" s="16"/>
      <c r="F35" s="16"/>
      <c r="G35" s="16"/>
      <c r="H35" s="16"/>
      <c r="I35" s="46"/>
      <c r="J35" s="150"/>
      <c r="K35" s="45"/>
      <c r="L35" s="77"/>
      <c r="M35" s="83"/>
      <c r="N35" s="105"/>
      <c r="O35" s="20"/>
      <c r="P35" s="21">
        <f t="shared" si="0"/>
        <v>0</v>
      </c>
      <c r="Q35" s="20"/>
      <c r="R35" s="16"/>
      <c r="S35" s="28"/>
      <c r="T35" s="28"/>
      <c r="U35" s="28"/>
      <c r="V35" s="28"/>
    </row>
    <row r="36" spans="1:22">
      <c r="A36" s="58">
        <v>29</v>
      </c>
      <c r="B36" s="52"/>
      <c r="C36" s="16"/>
      <c r="D36" s="16"/>
      <c r="E36" s="16"/>
      <c r="F36" s="16"/>
      <c r="G36" s="16"/>
      <c r="H36" s="16"/>
      <c r="I36" s="46"/>
      <c r="J36" s="150"/>
      <c r="K36" s="45"/>
      <c r="L36" s="77"/>
      <c r="M36" s="83"/>
      <c r="N36" s="105"/>
      <c r="O36" s="20"/>
      <c r="P36" s="21">
        <f t="shared" si="0"/>
        <v>0</v>
      </c>
      <c r="Q36" s="20"/>
      <c r="R36" s="16"/>
      <c r="S36" s="28"/>
      <c r="T36" s="28"/>
      <c r="U36" s="28"/>
      <c r="V36" s="28"/>
    </row>
    <row r="37" spans="1:22">
      <c r="A37" s="58">
        <v>30</v>
      </c>
      <c r="B37" s="52"/>
      <c r="C37" s="16"/>
      <c r="D37" s="16"/>
      <c r="E37" s="16"/>
      <c r="F37" s="16"/>
      <c r="G37" s="16"/>
      <c r="H37" s="16"/>
      <c r="I37" s="46"/>
      <c r="J37" s="150"/>
      <c r="K37" s="45"/>
      <c r="L37" s="77"/>
      <c r="M37" s="83"/>
      <c r="N37" s="105"/>
      <c r="O37" s="20"/>
      <c r="P37" s="21">
        <f t="shared" si="0"/>
        <v>0</v>
      </c>
      <c r="Q37" s="20"/>
      <c r="R37" s="16"/>
      <c r="S37" s="28"/>
      <c r="T37" s="28"/>
      <c r="U37" s="28"/>
      <c r="V37" s="28"/>
    </row>
    <row r="38" spans="1:22">
      <c r="A38" s="58">
        <v>31</v>
      </c>
      <c r="B38" s="52"/>
      <c r="C38" s="16"/>
      <c r="D38" s="16"/>
      <c r="E38" s="16"/>
      <c r="F38" s="16"/>
      <c r="G38" s="16"/>
      <c r="H38" s="16"/>
      <c r="I38" s="46"/>
      <c r="J38" s="150"/>
      <c r="K38" s="45"/>
      <c r="L38" s="77"/>
      <c r="M38" s="83"/>
      <c r="N38" s="105"/>
      <c r="O38" s="20"/>
      <c r="P38" s="21">
        <f t="shared" si="0"/>
        <v>0</v>
      </c>
      <c r="Q38" s="20"/>
      <c r="R38" s="16"/>
      <c r="S38" s="28"/>
      <c r="T38" s="28"/>
      <c r="U38" s="28"/>
      <c r="V38" s="28"/>
    </row>
    <row r="39" spans="1:22">
      <c r="A39" s="58">
        <v>32</v>
      </c>
      <c r="B39" s="52"/>
      <c r="C39" s="16"/>
      <c r="D39" s="16"/>
      <c r="E39" s="16"/>
      <c r="F39" s="16"/>
      <c r="G39" s="16"/>
      <c r="H39" s="16"/>
      <c r="I39" s="46"/>
      <c r="J39" s="150"/>
      <c r="K39" s="45"/>
      <c r="L39" s="77"/>
      <c r="M39" s="83"/>
      <c r="N39" s="105"/>
      <c r="O39" s="20"/>
      <c r="P39" s="21">
        <f t="shared" si="0"/>
        <v>0</v>
      </c>
      <c r="Q39" s="20"/>
      <c r="R39" s="16"/>
      <c r="S39" s="28"/>
      <c r="T39" s="28"/>
      <c r="U39" s="28"/>
      <c r="V39" s="28"/>
    </row>
    <row r="40" spans="1:22">
      <c r="A40" s="58">
        <v>33</v>
      </c>
      <c r="B40" s="52"/>
      <c r="C40" s="16"/>
      <c r="D40" s="16"/>
      <c r="E40" s="16"/>
      <c r="F40" s="16"/>
      <c r="G40" s="16"/>
      <c r="H40" s="16"/>
      <c r="I40" s="46"/>
      <c r="J40" s="150"/>
      <c r="K40" s="45"/>
      <c r="L40" s="77"/>
      <c r="M40" s="83"/>
      <c r="N40" s="105"/>
      <c r="O40" s="20"/>
      <c r="P40" s="21">
        <f t="shared" si="0"/>
        <v>0</v>
      </c>
      <c r="Q40" s="20"/>
      <c r="R40" s="16"/>
      <c r="S40" s="28"/>
      <c r="T40" s="28"/>
      <c r="U40" s="28"/>
      <c r="V40" s="28"/>
    </row>
    <row r="41" spans="1:22">
      <c r="A41" s="58">
        <v>34</v>
      </c>
      <c r="B41" s="52"/>
      <c r="C41" s="16"/>
      <c r="D41" s="16"/>
      <c r="E41" s="16"/>
      <c r="F41" s="16"/>
      <c r="G41" s="16"/>
      <c r="H41" s="16"/>
      <c r="I41" s="46"/>
      <c r="J41" s="150"/>
      <c r="K41" s="45"/>
      <c r="L41" s="77"/>
      <c r="M41" s="83"/>
      <c r="N41" s="105"/>
      <c r="O41" s="20"/>
      <c r="P41" s="21">
        <f t="shared" si="0"/>
        <v>0</v>
      </c>
      <c r="Q41" s="20"/>
      <c r="R41" s="16"/>
      <c r="S41" s="28"/>
      <c r="T41" s="28"/>
      <c r="U41" s="28"/>
      <c r="V41" s="28"/>
    </row>
    <row r="42" spans="1:22">
      <c r="A42" s="58">
        <v>35</v>
      </c>
      <c r="B42" s="52"/>
      <c r="C42" s="16"/>
      <c r="D42" s="16"/>
      <c r="E42" s="16"/>
      <c r="F42" s="16"/>
      <c r="G42" s="16"/>
      <c r="H42" s="16"/>
      <c r="I42" s="46"/>
      <c r="J42" s="150"/>
      <c r="K42" s="45"/>
      <c r="L42" s="77"/>
      <c r="M42" s="83"/>
      <c r="N42" s="105"/>
      <c r="O42" s="20"/>
      <c r="P42" s="21">
        <f t="shared" si="0"/>
        <v>0</v>
      </c>
      <c r="Q42" s="20"/>
      <c r="R42" s="16"/>
      <c r="S42" s="28"/>
      <c r="T42" s="28"/>
      <c r="U42" s="28"/>
      <c r="V42" s="28"/>
    </row>
    <row r="43" spans="1:22">
      <c r="A43" s="58">
        <v>36</v>
      </c>
      <c r="B43" s="52"/>
      <c r="C43" s="16"/>
      <c r="D43" s="16"/>
      <c r="E43" s="16"/>
      <c r="F43" s="16"/>
      <c r="G43" s="16"/>
      <c r="H43" s="16"/>
      <c r="I43" s="46"/>
      <c r="J43" s="150"/>
      <c r="K43" s="45"/>
      <c r="L43" s="77"/>
      <c r="M43" s="83"/>
      <c r="N43" s="105"/>
      <c r="O43" s="20"/>
      <c r="P43" s="21">
        <f t="shared" si="0"/>
        <v>0</v>
      </c>
      <c r="Q43" s="20"/>
      <c r="R43" s="16"/>
      <c r="S43" s="28"/>
      <c r="T43" s="28"/>
      <c r="U43" s="28"/>
      <c r="V43" s="28"/>
    </row>
    <row r="44" spans="1:22">
      <c r="A44" s="58">
        <v>37</v>
      </c>
      <c r="B44" s="52"/>
      <c r="C44" s="16"/>
      <c r="D44" s="16"/>
      <c r="E44" s="16"/>
      <c r="F44" s="16"/>
      <c r="G44" s="16"/>
      <c r="H44" s="16"/>
      <c r="I44" s="46"/>
      <c r="J44" s="150"/>
      <c r="K44" s="45"/>
      <c r="L44" s="77"/>
      <c r="M44" s="83"/>
      <c r="N44" s="105"/>
      <c r="O44" s="20"/>
      <c r="P44" s="21">
        <f t="shared" si="0"/>
        <v>0</v>
      </c>
      <c r="Q44" s="20"/>
      <c r="R44" s="16"/>
      <c r="S44" s="28"/>
      <c r="T44" s="28"/>
      <c r="U44" s="28"/>
      <c r="V44" s="28"/>
    </row>
    <row r="45" spans="1:22">
      <c r="A45" s="58">
        <v>38</v>
      </c>
      <c r="B45" s="52"/>
      <c r="C45" s="16"/>
      <c r="D45" s="16"/>
      <c r="E45" s="16"/>
      <c r="F45" s="16"/>
      <c r="G45" s="16"/>
      <c r="H45" s="16"/>
      <c r="I45" s="46"/>
      <c r="J45" s="150"/>
      <c r="K45" s="45"/>
      <c r="L45" s="77"/>
      <c r="M45" s="83"/>
      <c r="N45" s="105"/>
      <c r="O45" s="20"/>
      <c r="P45" s="21">
        <f t="shared" si="0"/>
        <v>0</v>
      </c>
      <c r="Q45" s="20"/>
      <c r="R45" s="16"/>
      <c r="S45" s="28"/>
      <c r="T45" s="28"/>
      <c r="U45" s="28"/>
      <c r="V45" s="28"/>
    </row>
    <row r="46" spans="1:22">
      <c r="A46" s="58">
        <v>39</v>
      </c>
      <c r="B46" s="52"/>
      <c r="C46" s="16"/>
      <c r="D46" s="16"/>
      <c r="E46" s="16"/>
      <c r="F46" s="16"/>
      <c r="G46" s="16"/>
      <c r="H46" s="16"/>
      <c r="I46" s="46"/>
      <c r="J46" s="150"/>
      <c r="K46" s="45"/>
      <c r="L46" s="77"/>
      <c r="M46" s="83"/>
      <c r="N46" s="105"/>
      <c r="O46" s="20"/>
      <c r="P46" s="21">
        <f t="shared" si="0"/>
        <v>0</v>
      </c>
      <c r="Q46" s="20"/>
      <c r="R46" s="16"/>
      <c r="S46" s="28"/>
      <c r="T46" s="28"/>
      <c r="U46" s="28"/>
      <c r="V46" s="28"/>
    </row>
    <row r="47" spans="1:22">
      <c r="A47" s="58">
        <v>40</v>
      </c>
      <c r="B47" s="52"/>
      <c r="C47" s="16"/>
      <c r="D47" s="16"/>
      <c r="E47" s="16"/>
      <c r="F47" s="16"/>
      <c r="G47" s="16"/>
      <c r="H47" s="16"/>
      <c r="I47" s="46"/>
      <c r="J47" s="150"/>
      <c r="K47" s="45"/>
      <c r="L47" s="77"/>
      <c r="M47" s="83"/>
      <c r="N47" s="105"/>
      <c r="O47" s="20"/>
      <c r="P47" s="21">
        <f t="shared" si="0"/>
        <v>0</v>
      </c>
      <c r="Q47" s="20"/>
      <c r="R47" s="16"/>
      <c r="S47" s="28"/>
      <c r="T47" s="28"/>
      <c r="U47" s="28"/>
      <c r="V47" s="28"/>
    </row>
    <row r="48" spans="1:22">
      <c r="A48" s="58">
        <v>41</v>
      </c>
      <c r="B48" s="52"/>
      <c r="C48" s="16"/>
      <c r="D48" s="16"/>
      <c r="E48" s="16"/>
      <c r="F48" s="16"/>
      <c r="G48" s="16"/>
      <c r="H48" s="16"/>
      <c r="I48" s="46"/>
      <c r="J48" s="150"/>
      <c r="K48" s="45"/>
      <c r="L48" s="77"/>
      <c r="M48" s="83"/>
      <c r="N48" s="105"/>
      <c r="O48" s="20"/>
      <c r="P48" s="21">
        <f t="shared" si="0"/>
        <v>0</v>
      </c>
      <c r="Q48" s="20"/>
      <c r="R48" s="16"/>
      <c r="S48" s="28"/>
      <c r="T48" s="28"/>
      <c r="U48" s="28"/>
      <c r="V48" s="28"/>
    </row>
    <row r="49" spans="1:22">
      <c r="A49" s="58">
        <v>42</v>
      </c>
      <c r="B49" s="52"/>
      <c r="C49" s="16"/>
      <c r="D49" s="16"/>
      <c r="E49" s="16"/>
      <c r="F49" s="16"/>
      <c r="G49" s="16"/>
      <c r="H49" s="16"/>
      <c r="I49" s="46"/>
      <c r="J49" s="150"/>
      <c r="K49" s="45"/>
      <c r="L49" s="77"/>
      <c r="M49" s="83"/>
      <c r="N49" s="105"/>
      <c r="O49" s="20"/>
      <c r="P49" s="21">
        <f t="shared" si="0"/>
        <v>0</v>
      </c>
      <c r="Q49" s="20"/>
      <c r="R49" s="16"/>
      <c r="S49" s="28"/>
      <c r="T49" s="28"/>
      <c r="U49" s="28"/>
      <c r="V49" s="28"/>
    </row>
    <row r="50" spans="1:22">
      <c r="A50" s="58">
        <v>43</v>
      </c>
      <c r="B50" s="52"/>
      <c r="C50" s="16"/>
      <c r="D50" s="16"/>
      <c r="E50" s="16"/>
      <c r="F50" s="16"/>
      <c r="G50" s="16"/>
      <c r="H50" s="16"/>
      <c r="I50" s="46"/>
      <c r="J50" s="150"/>
      <c r="K50" s="45"/>
      <c r="L50" s="77"/>
      <c r="M50" s="83"/>
      <c r="N50" s="105"/>
      <c r="O50" s="20"/>
      <c r="P50" s="21">
        <f t="shared" si="0"/>
        <v>0</v>
      </c>
      <c r="Q50" s="20"/>
      <c r="R50" s="16"/>
      <c r="S50" s="28"/>
      <c r="T50" s="28"/>
      <c r="U50" s="28"/>
      <c r="V50" s="28"/>
    </row>
    <row r="51" spans="1:22">
      <c r="A51" s="58">
        <v>44</v>
      </c>
      <c r="B51" s="52"/>
      <c r="C51" s="16"/>
      <c r="D51" s="16"/>
      <c r="E51" s="16"/>
      <c r="F51" s="16"/>
      <c r="G51" s="16"/>
      <c r="H51" s="16"/>
      <c r="I51" s="46"/>
      <c r="J51" s="150"/>
      <c r="K51" s="45"/>
      <c r="L51" s="77"/>
      <c r="M51" s="83"/>
      <c r="N51" s="105"/>
      <c r="O51" s="20"/>
      <c r="P51" s="21">
        <f t="shared" si="0"/>
        <v>0</v>
      </c>
      <c r="Q51" s="20"/>
      <c r="R51" s="16"/>
      <c r="S51" s="28"/>
      <c r="T51" s="28"/>
      <c r="U51" s="28"/>
      <c r="V51" s="28"/>
    </row>
    <row r="52" spans="1:22">
      <c r="A52" s="58">
        <v>45</v>
      </c>
      <c r="B52" s="52"/>
      <c r="C52" s="16"/>
      <c r="D52" s="16"/>
      <c r="E52" s="16"/>
      <c r="F52" s="16"/>
      <c r="G52" s="16"/>
      <c r="H52" s="16"/>
      <c r="I52" s="46"/>
      <c r="J52" s="150"/>
      <c r="K52" s="45"/>
      <c r="L52" s="77"/>
      <c r="M52" s="83"/>
      <c r="N52" s="105"/>
      <c r="O52" s="20"/>
      <c r="P52" s="21">
        <f t="shared" si="0"/>
        <v>0</v>
      </c>
      <c r="Q52" s="20"/>
      <c r="R52" s="16"/>
      <c r="S52" s="28"/>
      <c r="T52" s="28"/>
      <c r="U52" s="28"/>
      <c r="V52" s="28"/>
    </row>
    <row r="53" spans="1:22">
      <c r="A53" s="58">
        <v>46</v>
      </c>
      <c r="B53" s="52"/>
      <c r="C53" s="16"/>
      <c r="D53" s="16"/>
      <c r="E53" s="16"/>
      <c r="F53" s="16"/>
      <c r="G53" s="16"/>
      <c r="H53" s="16"/>
      <c r="I53" s="46"/>
      <c r="J53" s="150"/>
      <c r="K53" s="45"/>
      <c r="L53" s="77"/>
      <c r="M53" s="83"/>
      <c r="N53" s="105"/>
      <c r="O53" s="20"/>
      <c r="P53" s="21">
        <f t="shared" si="0"/>
        <v>0</v>
      </c>
      <c r="Q53" s="20"/>
      <c r="R53" s="16"/>
      <c r="S53" s="28"/>
      <c r="T53" s="28"/>
      <c r="U53" s="28"/>
      <c r="V53" s="28"/>
    </row>
    <row r="54" spans="1:22">
      <c r="A54" s="58">
        <v>47</v>
      </c>
      <c r="B54" s="52"/>
      <c r="C54" s="16"/>
      <c r="D54" s="16"/>
      <c r="E54" s="16"/>
      <c r="F54" s="16"/>
      <c r="G54" s="16"/>
      <c r="H54" s="16"/>
      <c r="I54" s="46"/>
      <c r="J54" s="150"/>
      <c r="K54" s="45"/>
      <c r="L54" s="77"/>
      <c r="M54" s="83"/>
      <c r="N54" s="105"/>
      <c r="O54" s="20"/>
      <c r="P54" s="21">
        <f t="shared" si="0"/>
        <v>0</v>
      </c>
      <c r="Q54" s="20"/>
      <c r="R54" s="16"/>
      <c r="S54" s="28"/>
      <c r="T54" s="28"/>
      <c r="U54" s="28"/>
      <c r="V54" s="28"/>
    </row>
    <row r="55" spans="1:22">
      <c r="A55" s="58">
        <v>48</v>
      </c>
      <c r="B55" s="52"/>
      <c r="C55" s="16"/>
      <c r="D55" s="16"/>
      <c r="E55" s="16"/>
      <c r="F55" s="16"/>
      <c r="G55" s="16"/>
      <c r="H55" s="16"/>
      <c r="I55" s="46"/>
      <c r="J55" s="150"/>
      <c r="K55" s="45"/>
      <c r="L55" s="77"/>
      <c r="M55" s="83"/>
      <c r="N55" s="105"/>
      <c r="O55" s="20"/>
      <c r="P55" s="21">
        <f t="shared" si="0"/>
        <v>0</v>
      </c>
      <c r="Q55" s="20"/>
      <c r="R55" s="16"/>
      <c r="S55" s="28"/>
      <c r="T55" s="28"/>
      <c r="U55" s="28"/>
      <c r="V55" s="28"/>
    </row>
    <row r="56" spans="1:22">
      <c r="A56" s="58">
        <v>49</v>
      </c>
      <c r="B56" s="52"/>
      <c r="C56" s="16"/>
      <c r="D56" s="16"/>
      <c r="E56" s="16"/>
      <c r="F56" s="16"/>
      <c r="G56" s="16"/>
      <c r="H56" s="16"/>
      <c r="I56" s="46"/>
      <c r="J56" s="150"/>
      <c r="K56" s="45"/>
      <c r="L56" s="77"/>
      <c r="M56" s="83"/>
      <c r="N56" s="105"/>
      <c r="O56" s="20"/>
      <c r="P56" s="21">
        <f t="shared" si="0"/>
        <v>0</v>
      </c>
      <c r="Q56" s="20"/>
      <c r="R56" s="16"/>
      <c r="S56" s="28"/>
      <c r="T56" s="28"/>
      <c r="U56" s="28"/>
      <c r="V56" s="28"/>
    </row>
    <row r="57" spans="1:22" ht="15" thickBot="1">
      <c r="A57" s="58">
        <v>50</v>
      </c>
      <c r="B57" s="53"/>
      <c r="C57" s="48"/>
      <c r="D57" s="48"/>
      <c r="E57" s="48"/>
      <c r="F57" s="48"/>
      <c r="G57" s="48"/>
      <c r="H57" s="48"/>
      <c r="I57" s="49"/>
      <c r="J57" s="151"/>
      <c r="K57" s="47"/>
      <c r="L57" s="78"/>
      <c r="M57" s="84"/>
      <c r="N57" s="105"/>
      <c r="O57" s="20"/>
      <c r="P57" s="21">
        <f t="shared" si="0"/>
        <v>0</v>
      </c>
      <c r="Q57" s="20"/>
      <c r="R57" s="16"/>
      <c r="S57" s="28"/>
      <c r="T57" s="28"/>
      <c r="U57" s="28"/>
      <c r="V57" s="28"/>
    </row>
    <row r="58" spans="1:22">
      <c r="A58" s="28"/>
      <c r="B58" s="28"/>
      <c r="C58" s="28"/>
      <c r="D58" s="28"/>
      <c r="E58" s="28"/>
      <c r="F58" s="28"/>
      <c r="G58" s="28"/>
      <c r="H58" s="28"/>
      <c r="I58" s="28"/>
      <c r="J58" s="28"/>
      <c r="K58" s="28"/>
      <c r="L58" s="28"/>
      <c r="M58" s="28"/>
      <c r="N58" s="28"/>
      <c r="O58" s="28"/>
      <c r="P58" s="28"/>
      <c r="Q58" s="28"/>
      <c r="R58" s="28"/>
      <c r="S58" s="28"/>
      <c r="T58" s="28"/>
      <c r="U58" s="28"/>
      <c r="V58" s="28"/>
    </row>
    <row r="59" spans="1:22">
      <c r="A59" s="28"/>
      <c r="B59" s="28"/>
      <c r="C59" s="28"/>
      <c r="D59" s="28"/>
      <c r="E59" s="28"/>
      <c r="F59" s="28"/>
      <c r="G59" s="28"/>
      <c r="H59" s="28"/>
      <c r="I59" s="28"/>
      <c r="J59" s="28"/>
      <c r="K59" s="28"/>
      <c r="L59" s="28"/>
      <c r="M59" s="28"/>
      <c r="N59" s="28"/>
      <c r="O59" s="28"/>
      <c r="P59" s="28"/>
      <c r="Q59" s="28"/>
      <c r="R59" s="28"/>
      <c r="S59" s="28"/>
      <c r="T59" s="28"/>
      <c r="U59" s="28"/>
      <c r="V59" s="28"/>
    </row>
    <row r="60" spans="1:22">
      <c r="A60" s="28"/>
      <c r="B60" s="28"/>
      <c r="C60" s="28"/>
      <c r="D60" s="28"/>
      <c r="E60" s="28"/>
      <c r="F60" s="28"/>
      <c r="G60" s="28"/>
      <c r="H60" s="28"/>
      <c r="I60" s="28"/>
      <c r="J60" s="28"/>
      <c r="K60" s="28"/>
      <c r="L60" s="28"/>
      <c r="M60" s="28"/>
      <c r="N60" s="28"/>
      <c r="O60" s="28"/>
      <c r="P60" s="28"/>
      <c r="Q60" s="28"/>
      <c r="R60" s="28"/>
      <c r="S60" s="28"/>
      <c r="T60" s="28"/>
      <c r="U60" s="28"/>
      <c r="V60" s="28"/>
    </row>
    <row r="61" spans="1:22">
      <c r="A61" s="28"/>
      <c r="B61" s="28"/>
      <c r="C61" s="28"/>
      <c r="D61" s="28"/>
      <c r="E61" s="28"/>
      <c r="F61" s="28"/>
      <c r="G61" s="28"/>
      <c r="H61" s="28"/>
      <c r="I61" s="28"/>
      <c r="J61" s="28"/>
      <c r="K61" s="28"/>
      <c r="L61" s="28"/>
      <c r="M61" s="28"/>
      <c r="N61" s="28"/>
      <c r="O61" s="28"/>
      <c r="P61" s="28"/>
      <c r="Q61" s="28"/>
      <c r="R61" s="28"/>
      <c r="S61" s="28"/>
      <c r="T61" s="28"/>
      <c r="U61" s="28"/>
      <c r="V61" s="28"/>
    </row>
    <row r="62" spans="1:22">
      <c r="A62" s="28"/>
      <c r="B62" s="28"/>
      <c r="C62" s="28"/>
      <c r="D62" s="28"/>
      <c r="E62" s="28"/>
      <c r="F62" s="28"/>
      <c r="G62" s="28"/>
      <c r="H62" s="28"/>
      <c r="I62" s="28"/>
      <c r="J62" s="28"/>
      <c r="K62" s="28"/>
      <c r="L62" s="28"/>
      <c r="M62" s="28"/>
      <c r="N62" s="28"/>
      <c r="O62" s="28"/>
      <c r="P62" s="28"/>
      <c r="Q62" s="28"/>
      <c r="R62" s="28"/>
      <c r="S62" s="28"/>
      <c r="T62" s="28"/>
      <c r="U62" s="28"/>
      <c r="V62" s="28"/>
    </row>
    <row r="63" spans="1:22">
      <c r="A63" s="28"/>
      <c r="B63" s="28"/>
      <c r="C63" s="28"/>
      <c r="D63" s="28"/>
      <c r="E63" s="28"/>
      <c r="F63" s="28"/>
      <c r="G63" s="28"/>
      <c r="H63" s="28"/>
      <c r="I63" s="28"/>
      <c r="J63" s="28"/>
      <c r="K63" s="28"/>
      <c r="L63" s="28"/>
      <c r="M63" s="28"/>
      <c r="N63" s="28"/>
      <c r="O63" s="28"/>
      <c r="P63" s="28"/>
      <c r="Q63" s="28"/>
      <c r="R63" s="28"/>
      <c r="S63" s="28"/>
      <c r="T63" s="28"/>
      <c r="U63" s="28"/>
      <c r="V63" s="28"/>
    </row>
    <row r="64" spans="1:22">
      <c r="A64" s="28"/>
      <c r="B64" s="28"/>
      <c r="C64" s="28"/>
      <c r="D64" s="28"/>
      <c r="E64" s="28"/>
      <c r="F64" s="28"/>
      <c r="G64" s="28"/>
      <c r="H64" s="28"/>
      <c r="I64" s="28"/>
      <c r="J64" s="28"/>
      <c r="K64" s="28"/>
      <c r="L64" s="28"/>
      <c r="M64" s="28"/>
      <c r="N64" s="28"/>
      <c r="O64" s="28"/>
      <c r="P64" s="28"/>
      <c r="Q64" s="28"/>
      <c r="R64" s="28"/>
      <c r="S64" s="28"/>
      <c r="T64" s="28"/>
      <c r="U64" s="28"/>
      <c r="V64" s="28"/>
    </row>
    <row r="65" spans="1:22">
      <c r="A65" s="28"/>
      <c r="B65" s="28"/>
      <c r="C65" s="28"/>
      <c r="D65" s="28"/>
      <c r="E65" s="28"/>
      <c r="F65" s="28"/>
      <c r="G65" s="28"/>
      <c r="H65" s="28"/>
      <c r="I65" s="28"/>
      <c r="J65" s="28"/>
      <c r="K65" s="28"/>
      <c r="L65" s="28"/>
      <c r="M65" s="28"/>
      <c r="N65" s="28"/>
      <c r="O65" s="28"/>
      <c r="P65" s="28"/>
      <c r="Q65" s="28"/>
      <c r="R65" s="28"/>
      <c r="S65" s="28"/>
      <c r="T65" s="28"/>
      <c r="U65" s="28"/>
      <c r="V65" s="28"/>
    </row>
    <row r="66" spans="1:22">
      <c r="A66" s="28"/>
      <c r="B66" s="28"/>
      <c r="C66" s="28"/>
      <c r="D66" s="28"/>
      <c r="E66" s="28"/>
      <c r="F66" s="28"/>
      <c r="G66" s="28"/>
      <c r="H66" s="28"/>
      <c r="I66" s="28"/>
      <c r="J66" s="28"/>
      <c r="K66" s="28"/>
      <c r="L66" s="28"/>
      <c r="M66" s="28"/>
      <c r="N66" s="28"/>
      <c r="O66" s="28"/>
      <c r="P66" s="28"/>
      <c r="Q66" s="28"/>
      <c r="R66" s="28"/>
    </row>
  </sheetData>
  <autoFilter ref="A7:R7" xr:uid="{00000000-0009-0000-0000-000022000000}"/>
  <mergeCells count="6">
    <mergeCell ref="A4:G4"/>
    <mergeCell ref="A3:G3"/>
    <mergeCell ref="J6:L6"/>
    <mergeCell ref="B6:I6"/>
    <mergeCell ref="N6:Q6"/>
    <mergeCell ref="M6:M7"/>
  </mergeCells>
  <pageMargins left="0.7" right="0.7" top="0.75" bottom="0.75" header="0.3" footer="0.3"/>
  <pageSetup orientation="portrait"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8A60E-2694-4F82-88F6-FB64ADDD83AE}">
  <dimension ref="A1:B43"/>
  <sheetViews>
    <sheetView workbookViewId="0">
      <selection activeCell="D18" sqref="D18"/>
    </sheetView>
  </sheetViews>
  <sheetFormatPr baseColWidth="10" defaultRowHeight="14.5"/>
  <cols>
    <col min="1" max="1" width="50.54296875" style="695" bestFit="1" customWidth="1"/>
    <col min="2" max="2" width="32.26953125" bestFit="1" customWidth="1"/>
  </cols>
  <sheetData>
    <row r="1" spans="1:2">
      <c r="A1" s="696" t="s">
        <v>586</v>
      </c>
      <c r="B1" s="697" t="s">
        <v>585</v>
      </c>
    </row>
    <row r="2" spans="1:2">
      <c r="A2" s="695" t="s">
        <v>545</v>
      </c>
      <c r="B2" s="695" t="s">
        <v>587</v>
      </c>
    </row>
    <row r="3" spans="1:2">
      <c r="A3" s="695" t="s">
        <v>547</v>
      </c>
      <c r="B3" s="695" t="s">
        <v>588</v>
      </c>
    </row>
    <row r="4" spans="1:2">
      <c r="A4" s="695" t="s">
        <v>548</v>
      </c>
      <c r="B4" s="695" t="s">
        <v>589</v>
      </c>
    </row>
    <row r="5" spans="1:2">
      <c r="A5" s="695" t="s">
        <v>549</v>
      </c>
      <c r="B5" s="695" t="s">
        <v>590</v>
      </c>
    </row>
    <row r="6" spans="1:2">
      <c r="A6" s="695" t="s">
        <v>550</v>
      </c>
      <c r="B6" s="695" t="s">
        <v>591</v>
      </c>
    </row>
    <row r="7" spans="1:2">
      <c r="A7" s="695" t="s">
        <v>551</v>
      </c>
      <c r="B7" s="695" t="s">
        <v>546</v>
      </c>
    </row>
    <row r="8" spans="1:2">
      <c r="A8" s="695" t="s">
        <v>552</v>
      </c>
    </row>
    <row r="9" spans="1:2">
      <c r="A9" s="695" t="s">
        <v>557</v>
      </c>
    </row>
    <row r="10" spans="1:2">
      <c r="A10" s="695" t="s">
        <v>558</v>
      </c>
    </row>
    <row r="11" spans="1:2">
      <c r="A11" s="695" t="s">
        <v>559</v>
      </c>
    </row>
    <row r="12" spans="1:2">
      <c r="A12" s="695" t="s">
        <v>560</v>
      </c>
    </row>
    <row r="13" spans="1:2">
      <c r="A13" s="695" t="s">
        <v>561</v>
      </c>
    </row>
    <row r="14" spans="1:2">
      <c r="A14" s="695" t="s">
        <v>562</v>
      </c>
    </row>
    <row r="15" spans="1:2">
      <c r="A15" s="695" t="s">
        <v>563</v>
      </c>
    </row>
    <row r="16" spans="1:2">
      <c r="A16" s="695" t="s">
        <v>564</v>
      </c>
    </row>
    <row r="17" spans="1:1">
      <c r="A17" s="695" t="s">
        <v>565</v>
      </c>
    </row>
    <row r="18" spans="1:1">
      <c r="A18" s="695" t="s">
        <v>566</v>
      </c>
    </row>
    <row r="19" spans="1:1">
      <c r="A19" s="695" t="s">
        <v>567</v>
      </c>
    </row>
    <row r="20" spans="1:1">
      <c r="A20" s="695" t="s">
        <v>568</v>
      </c>
    </row>
    <row r="21" spans="1:1">
      <c r="A21" s="695" t="s">
        <v>569</v>
      </c>
    </row>
    <row r="22" spans="1:1">
      <c r="A22" s="695" t="s">
        <v>570</v>
      </c>
    </row>
    <row r="23" spans="1:1">
      <c r="A23" s="695" t="s">
        <v>571</v>
      </c>
    </row>
    <row r="24" spans="1:1">
      <c r="A24" s="695" t="s">
        <v>572</v>
      </c>
    </row>
    <row r="25" spans="1:1">
      <c r="A25" s="695" t="s">
        <v>573</v>
      </c>
    </row>
    <row r="26" spans="1:1">
      <c r="A26" s="695" t="s">
        <v>553</v>
      </c>
    </row>
    <row r="27" spans="1:1">
      <c r="A27" s="695" t="s">
        <v>574</v>
      </c>
    </row>
    <row r="28" spans="1:1">
      <c r="A28" s="695" t="s">
        <v>575</v>
      </c>
    </row>
    <row r="29" spans="1:1">
      <c r="A29" s="695" t="s">
        <v>576</v>
      </c>
    </row>
    <row r="30" spans="1:1">
      <c r="A30" s="695" t="s">
        <v>577</v>
      </c>
    </row>
    <row r="31" spans="1:1">
      <c r="A31" s="695" t="s">
        <v>578</v>
      </c>
    </row>
    <row r="32" spans="1:1">
      <c r="A32" s="695" t="s">
        <v>593</v>
      </c>
    </row>
    <row r="33" spans="1:1">
      <c r="A33" s="695" t="s">
        <v>592</v>
      </c>
    </row>
    <row r="34" spans="1:1">
      <c r="A34" s="695" t="s">
        <v>579</v>
      </c>
    </row>
    <row r="35" spans="1:1">
      <c r="A35" s="695" t="s">
        <v>594</v>
      </c>
    </row>
    <row r="36" spans="1:1">
      <c r="A36" s="695" t="s">
        <v>580</v>
      </c>
    </row>
    <row r="37" spans="1:1">
      <c r="A37" s="695" t="s">
        <v>554</v>
      </c>
    </row>
    <row r="38" spans="1:1">
      <c r="A38" s="695" t="s">
        <v>581</v>
      </c>
    </row>
    <row r="39" spans="1:1">
      <c r="A39" s="695" t="s">
        <v>582</v>
      </c>
    </row>
    <row r="40" spans="1:1">
      <c r="A40" s="695" t="s">
        <v>555</v>
      </c>
    </row>
    <row r="41" spans="1:1">
      <c r="A41" s="695" t="s">
        <v>556</v>
      </c>
    </row>
    <row r="42" spans="1:1">
      <c r="A42" s="695" t="s">
        <v>583</v>
      </c>
    </row>
    <row r="43" spans="1:1">
      <c r="A43" s="695" t="s">
        <v>584</v>
      </c>
    </row>
  </sheetData>
  <sheetProtection algorithmName="SHA-512" hashValue="nHpnDzEfJSOt6IuaGHYWDWDc4nhi4rx+/+X0IkesbBdjGYZCmG2y7aRpWHrwERKzo2BzS5SAS94PZM6TSeEEqw==" saltValue="Rh4fcoCV1FXSUO4eVfto2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8</vt:i4>
      </vt:variant>
    </vt:vector>
  </HeadingPairs>
  <TitlesOfParts>
    <vt:vector size="41" baseType="lpstr">
      <vt:lpstr>Índice</vt:lpstr>
      <vt:lpstr>Instructivo general </vt:lpstr>
      <vt:lpstr>0. Resumen Estadístico</vt:lpstr>
      <vt:lpstr>1. Identificación carrera</vt:lpstr>
      <vt:lpstr>2. Líneas de investigación </vt:lpstr>
      <vt:lpstr>3. Admisión ciclo-semestre</vt:lpstr>
      <vt:lpstr>4. Cohortes ciclo-semestre</vt:lpstr>
      <vt:lpstr>5.Egresados ciclo-semestre</vt:lpstr>
      <vt:lpstr>6. Titulados ciclo-semestre</vt:lpstr>
      <vt:lpstr>7.a. Asignaturas y actividades </vt:lpstr>
      <vt:lpstr>7.b. Asignaturas optativas</vt:lpstr>
      <vt:lpstr>8. Actualización Plan estudios</vt:lpstr>
      <vt:lpstr>9. Consejo</vt:lpstr>
      <vt:lpstr>10. Académicos</vt:lpstr>
      <vt:lpstr>11. Caracterización académicos </vt:lpstr>
      <vt:lpstr>12. Jefes de práctica</vt:lpstr>
      <vt:lpstr>13. Perfeccionamiento académic</vt:lpstr>
      <vt:lpstr>14. Personal no académico</vt:lpstr>
      <vt:lpstr>15. Becas y ayudas internas</vt:lpstr>
      <vt:lpstr>16. Becas y ayudas externas</vt:lpstr>
      <vt:lpstr>17. Bienestar universitario</vt:lpstr>
      <vt:lpstr>18. Recursos de aprendizaje</vt:lpstr>
      <vt:lpstr>19. Desarrollo académico</vt:lpstr>
      <vt:lpstr>20. Proyectos de investigación</vt:lpstr>
      <vt:lpstr>21. Desarrollo profesional</vt:lpstr>
      <vt:lpstr>22. Artículos</vt:lpstr>
      <vt:lpstr>23. Libros o Capítulos de libro</vt:lpstr>
      <vt:lpstr>24. Obra de creación</vt:lpstr>
      <vt:lpstr>25. Patentes</vt:lpstr>
      <vt:lpstr>26. Redes</vt:lpstr>
      <vt:lpstr>27. Extensión</vt:lpstr>
      <vt:lpstr>28. Prestación de servicios</vt:lpstr>
      <vt:lpstr>ÁREAS OCDE</vt:lpstr>
      <vt:lpstr>'0. Resumen Estadístico'!Área_de_impresión</vt:lpstr>
      <vt:lpstr>CIENCIAS_AGRÍCOLAS</vt:lpstr>
      <vt:lpstr>CIENCIAS_MÉDICAS_Y_DE_LA_SALUD</vt:lpstr>
      <vt:lpstr>CIENCIAS_NATURALES</vt:lpstr>
      <vt:lpstr>CIENCIAS_SOCIALES</vt:lpstr>
      <vt:lpstr>HUMANIDADES</vt:lpstr>
      <vt:lpstr>INGENIERÍA_Y_TECNOLOGÍA</vt:lpstr>
      <vt:lpstr>OCDE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Baeza</dc:creator>
  <cp:lastModifiedBy>Pablo Baeza</cp:lastModifiedBy>
  <cp:lastPrinted>2026-07-29T16:34:02Z</cp:lastPrinted>
  <dcterms:created xsi:type="dcterms:W3CDTF">2021-12-13T20:50:55Z</dcterms:created>
  <dcterms:modified xsi:type="dcterms:W3CDTF">2026-07-29T16:35:20Z</dcterms:modified>
</cp:coreProperties>
</file>